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ez-moi" sheetId="1" state="visible" r:id="rId1"/>
    <sheet xmlns:r="http://schemas.openxmlformats.org/officeDocument/2006/relationships" name="Synthèse" sheetId="2" state="visible" r:id="rId2"/>
    <sheet xmlns:r="http://schemas.openxmlformats.org/officeDocument/2006/relationships" name="Modules" sheetId="3" state="visible" r:id="rId3"/>
    <sheet xmlns:r="http://schemas.openxmlformats.org/officeDocument/2006/relationships" name="Évaluations" sheetId="4" state="visible" r:id="rId4"/>
    <sheet xmlns:r="http://schemas.openxmlformats.org/officeDocument/2006/relationships" name="Paramètres" sheetId="5" state="visible" r:id="rId5"/>
  </sheets>
  <definedNames>
    <definedName name="pPass">'Paramètres'!$C$4</definedName>
    <definedName name="pResit">'Paramètres'!$C$5</definedName>
    <definedName name="pRound">'Paramètres'!$C$6</definedName>
    <definedName name="pTarget">'Paramètres'!$C$7</definedName>
    <definedName name="pMin">'Paramètres'!$C$8</definedName>
    <definedName name="pMax">'Paramètres'!$C$9</definedName>
    <definedName name="lstSemesters">'Paramètres'!$E$4:$E$13</definedName>
    <definedName name="lstCodes">'Modules'!$B$2:$B$200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0.0"/>
    <numFmt numFmtId="165" formatCode="yyyy-mm-dd"/>
    <numFmt numFmtId="166" formatCode="dd.mm.yyyy"/>
    <numFmt numFmtId="167" formatCode="0.0#"/>
  </numFmts>
  <fonts count="6">
    <font>
      <name val="Helvetica"/>
      <family val="2"/>
      <color theme="1"/>
      <sz val="10"/>
      <scheme val="minor"/>
    </font>
    <font>
      <name val="Helvetica"/>
      <family val="2"/>
      <b val="1"/>
      <color theme="1"/>
      <sz val="18"/>
      <scheme val="minor"/>
    </font>
    <font>
      <name val="Helvetica"/>
      <family val="2"/>
      <color theme="3"/>
      <sz val="10"/>
      <scheme val="minor"/>
    </font>
    <font>
      <name val="Helvetica"/>
      <family val="2"/>
      <b val="1"/>
      <color theme="1"/>
      <sz val="12"/>
      <scheme val="minor"/>
    </font>
    <font>
      <name val="Helvetica"/>
      <family val="2"/>
      <b val="1"/>
      <color theme="1"/>
      <sz val="10"/>
      <scheme val="minor"/>
    </font>
    <font>
      <name val="Helvetica"/>
      <family val="2"/>
      <color theme="3"/>
      <sz val="9"/>
      <scheme val="minor"/>
    </font>
  </fonts>
  <fills count="4">
    <fill>
      <patternFill/>
    </fill>
    <fill>
      <patternFill patternType="gray125"/>
    </fill>
    <fill>
      <patternFill patternType="solid">
        <fgColor theme="4" tint="0.86"/>
        <bgColor theme="4" tint="0.86"/>
      </patternFill>
    </fill>
    <fill>
      <patternFill patternType="solid">
        <fgColor rgb="FFF2F2F7"/>
        <bgColor rgb="FFF2F2F7"/>
      </patternFill>
    </fill>
  </fills>
  <borders count="4">
    <border>
      <left/>
      <right/>
      <top/>
      <bottom/>
      <diagonal/>
    </border>
    <border>
      <left style="thin">
        <color rgb="FFC6C6C8"/>
      </left>
      <right style="thin">
        <color rgb="FFC6C6C8"/>
      </right>
      <top style="thin">
        <color rgb="FFC6C6C8"/>
      </top>
      <bottom style="thin">
        <color rgb="FFC6C6C8"/>
      </bottom>
    </border>
    <border>
      <bottom style="thin">
        <color rgb="FFC6C6C8"/>
      </bottom>
    </border>
    <border>
      <bottom style="thin">
        <color rgb="FFAEAEB2"/>
      </bottom>
    </border>
  </borders>
  <cellStyleXfs count="1">
    <xf numFmtId="0" fontId="0" fillId="0" borderId="0"/>
  </cellStyleXfs>
  <cellXfs count="30">
    <xf numFmtId="0" fontId="0" fillId="0" borderId="0" pivotButton="0" quotePrefix="0" xfId="0"/>
    <xf numFmtId="0" fontId="1" fillId="0" borderId="0" applyAlignment="1" pivotButton="0" quotePrefix="0" xfId="0">
      <alignment vertical="bottom"/>
    </xf>
    <xf numFmtId="0" fontId="2" fillId="0" borderId="0" pivotButton="0" quotePrefix="0" xfId="0"/>
    <xf numFmtId="0" fontId="3" fillId="0" borderId="0" pivotButton="0" quotePrefix="0" xfId="0"/>
    <xf numFmtId="0" fontId="2" fillId="0" borderId="0" applyAlignment="1" pivotButton="0" quotePrefix="0" xfId="0">
      <alignment horizontal="right" vertical="top" indent="1"/>
    </xf>
    <xf numFmtId="0" fontId="0" fillId="0" borderId="0" applyAlignment="1" pivotButton="0" quotePrefix="0" xfId="0">
      <alignment vertical="top" wrapText="1"/>
    </xf>
    <xf numFmtId="0" fontId="4" fillId="2" borderId="1" pivotButton="0" quotePrefix="0" xfId="0"/>
    <xf numFmtId="0" fontId="4" fillId="0" borderId="1" pivotButton="0" quotePrefix="0" xfId="0"/>
    <xf numFmtId="0" fontId="4" fillId="3" borderId="1" pivotButton="0" quotePrefix="0" xfId="0"/>
    <xf numFmtId="0" fontId="4" fillId="0" borderId="0" pivotButton="0" quotePrefix="0" xfId="0"/>
    <xf numFmtId="0" fontId="5" fillId="0" borderId="0" pivotButton="0" quotePrefix="0" xfId="0"/>
    <xf numFmtId="1" fontId="4" fillId="3" borderId="2" applyAlignment="1" pivotButton="0" quotePrefix="0" xfId="0">
      <alignment horizontal="right"/>
    </xf>
    <xf numFmtId="1" fontId="0" fillId="3" borderId="2" applyAlignment="1" pivotButton="0" quotePrefix="0" xfId="0">
      <alignment horizontal="right"/>
    </xf>
    <xf numFmtId="9" fontId="0" fillId="3" borderId="2" applyAlignment="1" pivotButton="0" quotePrefix="0" xfId="0">
      <alignment horizontal="right"/>
    </xf>
    <xf numFmtId="2" fontId="4" fillId="3" borderId="2" applyAlignment="1" pivotButton="0" quotePrefix="0" xfId="0">
      <alignment horizontal="right"/>
    </xf>
    <xf numFmtId="0" fontId="4" fillId="0" borderId="3" applyAlignment="1" pivotButton="0" quotePrefix="0" xfId="0">
      <alignment horizontal="left" vertical="bottom" wrapText="1"/>
    </xf>
    <xf numFmtId="0" fontId="4" fillId="0" borderId="3" applyAlignment="1" pivotButton="0" quotePrefix="0" xfId="0">
      <alignment horizontal="right" vertical="bottom" wrapText="1"/>
    </xf>
    <xf numFmtId="0" fontId="0" fillId="3" borderId="2" pivotButton="0" quotePrefix="0" xfId="0"/>
    <xf numFmtId="2" fontId="0" fillId="3" borderId="2" applyAlignment="1" pivotButton="0" quotePrefix="0" xfId="0">
      <alignment horizontal="right"/>
    </xf>
    <xf numFmtId="0" fontId="0" fillId="0" borderId="2" pivotButton="0" quotePrefix="0" xfId="0"/>
    <xf numFmtId="1" fontId="0" fillId="0" borderId="2" applyAlignment="1" pivotButton="0" quotePrefix="0" xfId="0">
      <alignment horizontal="right"/>
    </xf>
    <xf numFmtId="167" fontId="4" fillId="3" borderId="2" applyAlignment="1" pivotButton="0" quotePrefix="0" xfId="0">
      <alignment horizontal="right"/>
    </xf>
    <xf numFmtId="164" fontId="0" fillId="3" borderId="2" applyAlignment="1" pivotButton="0" quotePrefix="0" xfId="0">
      <alignment horizontal="right"/>
    </xf>
    <xf numFmtId="166" fontId="0" fillId="0" borderId="2" pivotButton="0" quotePrefix="0" xfId="0"/>
    <xf numFmtId="9" fontId="0" fillId="0" borderId="2" applyAlignment="1" pivotButton="0" quotePrefix="0" xfId="0">
      <alignment horizontal="right"/>
    </xf>
    <xf numFmtId="164" fontId="0" fillId="0" borderId="2" applyAlignment="1" pivotButton="0" quotePrefix="0" xfId="0">
      <alignment horizontal="right"/>
    </xf>
    <xf numFmtId="164" fontId="0" fillId="2" borderId="2" applyAlignment="1" pivotButton="0" quotePrefix="0" xfId="0">
      <alignment horizontal="right"/>
    </xf>
    <xf numFmtId="0" fontId="0" fillId="2" borderId="2" pivotButton="0" quotePrefix="0" xfId="0"/>
    <xf numFmtId="2" fontId="0" fillId="2" borderId="2" applyAlignment="1" pivotButton="0" quotePrefix="0" xfId="0">
      <alignment horizontal="right"/>
    </xf>
    <xf numFmtId="1" fontId="0" fillId="2" borderId="2" applyAlignment="1" pivotButton="0" quotePrefix="0" xfId="0">
      <alignment horizontal="right"/>
    </xf>
  </cellXfs>
  <cellStyles count="1">
    <cellStyle name="Normal" xfId="0" builtinId="0" hidden="0"/>
  </cellStyles>
  <dxfs count="8">
    <dxf>
      <border>
        <bottom style="thin">
          <color rgb="FFC6C6C8"/>
        </bottom>
        <horizontal style="thin">
          <color rgb="FFC6C6C8"/>
        </horizontal>
      </border>
    </dxf>
    <dxf>
      <font>
        <b val="1"/>
        <color theme="1"/>
      </font>
      <border>
        <bottom style="thin">
          <color rgb="FFAEAEB2"/>
        </bottom>
      </border>
    </dxf>
    <dxf>
      <font>
        <b val="1"/>
      </font>
      <border>
        <top style="thin">
          <color rgb="FF1D1D1F"/>
        </top>
      </border>
    </dxf>
    <dxf>
      <fill>
        <patternFill patternType="solid">
          <fgColor theme="2"/>
          <bgColor theme="2"/>
        </patternFill>
      </fill>
    </dxf>
    <dxf>
      <font>
        <b val="1"/>
        <color rgb="FF00792C"/>
      </font>
    </dxf>
    <dxf>
      <font>
        <b val="1"/>
        <color rgb="FFA15300"/>
      </font>
    </dxf>
    <dxf>
      <font>
        <b val="1"/>
        <color rgb="FFC8001C"/>
      </font>
    </dxf>
    <dxf>
      <font>
        <color theme="4"/>
      </font>
    </dxf>
  </dxfs>
  <tableStyles count="1" defaultTableStyle="Halo" defaultPivotStyle="PivotStyleLight16">
    <tableStyle name="Halo" pivot="0" count="4">
      <tableStyleElement type="wholeTable" dxfId="0"/>
      <tableStyleElement type="headerRow" dxfId="1"/>
      <tableStyleElement type="totalRow" dxfId="2"/>
      <tableStyleElement type="firstRowStripe" dxfId="3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1D1D1F"/>
                </a:solidFill>
              </a:defRPr>
            </a:pPr>
            <a:r>
              <a:rPr sz="1100" b="1">
                <a:solidFill>
                  <a:srgbClr val="1D1D1F"/>
                </a:solidFill>
              </a:rPr>
              <a:t>Crédits ECTS par semestre</a:t>
            </a:r>
          </a:p>
        </rich>
      </tx>
      <overlay val="0"/>
    </title>
    <plotArea>
      <barChart>
        <barDir val="col"/>
        <grouping val="clustered"/>
        <ser>
          <idx val="0"/>
          <order val="0"/>
          <tx>
            <strRef>
              <f>'Synthèse'!C13</f>
            </strRef>
          </tx>
          <spPr>
            <a:solidFill xmlns:a="http://schemas.openxmlformats.org/drawingml/2006/main">
              <a:srgbClr val="AEAEB2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'Synthèse'!$C$14:$C$16</f>
            </numRef>
          </val>
        </ser>
        <ser>
          <idx val="1"/>
          <order val="1"/>
          <tx>
            <strRef>
              <f>'Synthèse'!D13</f>
            </strRef>
          </tx>
          <spPr>
            <a:solidFill xmlns:a="http://schemas.openxmlformats.org/drawingml/2006/main">
              <a:schemeClr val="accent1"/>
            </a:solidFill>
            <a:ln xmlns:a="http://schemas.openxmlformats.org/drawingml/2006/main">
              <a:noFill/>
              <a:prstDash val="solid"/>
            </a:ln>
          </spPr>
          <cat>
            <numRef>
              <f>'Synthèse'!$B$14:$B$16</f>
            </numRef>
          </cat>
          <val>
            <numRef>
              <f>'Synthèse'!$D$14:$D$16</f>
            </numRef>
          </val>
        </ser>
        <dLbls>
          <numFmt formatCode="0" sourceLinked="0"/>
          <txPr>
            <a:bodyPr xmlns:a="http://schemas.openxmlformats.org/drawingml/2006/main"/>
            <a:p xmlns:a="http://schemas.openxmlformats.org/drawingml/2006/main">
              <a:pPr>
                <a:defRPr sz="900" b="0">
                  <a:solidFill>
                    <a:srgbClr val="1D1D1F"/>
                  </a:solidFill>
                </a:defRPr>
              </a:pPr>
              <a:r>
                <a:t/>
              </a:r>
              <a:endParaRPr sz="900"/>
            </a:p>
          </txPr>
          <dLblPos val="outEnd"/>
          <showLegendKey val="0"/>
          <showVal val="1"/>
          <showCatName val="0"/>
          <showSerName val="0"/>
          <showPercent val="0"/>
          <showBubbleSize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spPr>
          <a:ln xmlns:a="http://schemas.openxmlformats.org/drawingml/2006/main" w="9525">
            <a:solidFill>
              <a:srgbClr val="C6C6C8"/>
            </a:solidFill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0"/>
        <lblOffset val="100"/>
      </catAx>
      <valAx>
        <axId val="100"/>
        <scaling>
          <orientation val="minMax"/>
        </scaling>
        <delete val="0"/>
        <axPos val="l"/>
        <majorGridlines>
          <spPr>
            <a:ln xmlns:a="http://schemas.openxmlformats.org/drawingml/2006/main" w="9525">
              <a:solidFill>
                <a:srgbClr val="E5E5EA"/>
              </a:solidFill>
              <a:prstDash val="solid"/>
            </a:ln>
          </spPr>
        </majorGridlines>
        <majorTickMark val="none"/>
        <minorTickMark val="none"/>
        <spPr>
          <a:ln xmlns:a="http://schemas.openxmlformats.org/drawingml/2006/main">
            <a:noFill/>
            <a:prstDash val="solid"/>
          </a:ln>
        </spPr>
        <txPr>
          <a:bodyPr xmlns:a="http://schemas.openxmlformats.org/drawingml/2006/main"/>
          <a:p xmlns:a="http://schemas.openxmlformats.org/drawingml/2006/main">
            <a:pPr>
              <a:defRPr sz="900" b="0">
                <a:solidFill>
                  <a:srgbClr val="6C6C70"/>
                </a:solidFill>
              </a:defRPr>
            </a:pPr>
            <a:r>
              <a:t/>
            </a:r>
            <a:endParaRPr sz="900"/>
          </a:p>
        </txPr>
        <crossAx val="10"/>
      </valAx>
    </plotArea>
    <legend>
      <legendPos val="t"/>
    </legend>
    <plotVisOnly val="1"/>
    <dispBlanksAs val="gap"/>
  </chart>
  <spPr>
    <a:ln xmlns:a="http://schemas.openxmlformats.org/drawingml/2006/main">
      <a:noFill/>
      <a:prstDash val="solid"/>
    </a:ln>
  </spPr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2</row>
      <rowOff>0</rowOff>
    </from>
    <ext cx="504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tModules" displayName="tModules" ref="A1:K6" headerRowCount="1">
  <tableColumns count="11">
    <tableColumn id="1" name="Semestre"/>
    <tableColumn id="2" name="Code"/>
    <tableColumn id="3" name="Module"/>
    <tableColumn id="4" name="ECTS"/>
    <tableColumn id="5" name="Évalué">
      <calculatedColumnFormula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calculatedColumnFormula>
    </tableColumn>
    <tableColumn id="6" name="Moyenne">
      <calculatedColumnFormula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calculatedColumnFormula>
    </tableColumn>
    <tableColumn id="7" name="Note requise">
      <calculatedColumnFormula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calculatedColumnFormula>
    </tableColumn>
    <tableColumn id="8" name="Statut">
      <calculatedColumnFormula>IF(tModules[[#This Row],[Code]]="","",IF(tModules[[#This Row],[Moyenne]]="","À venir",IF(tModules[[#This Row],[Évalué]]&lt;0.9999,"En cours",IF(tModules[[#This Row],[Moyenne]]&gt;=pPass,"Réussi",IF(tModules[[#This Row],[Moyenne]]&gt;=pResit,"Remédiation","Échec")))))</calculatedColumnFormula>
    </tableColumn>
    <tableColumn id="9" name="ECTS acquis">
      <calculatedColumnFormula>IF(tModules[[#This Row],[Statut]]="Réussi",N(tModules[[#This Row],[ECTS]]),0)</calculatedColumnFormula>
    </tableColumn>
    <tableColumn id="10" name="Points ECTS">
      <calculatedColumnFormula>IF(AND(tModules[[#This Row],[Moyenne]]&lt;&gt;"",tModules[[#This Row],[Évalué]]&gt;=0.9999),tModules[[#This Row],[Moyenne]]*N(tModules[[#This Row],[ECTS]]),"")</calculatedColumnFormula>
    </tableColumn>
    <tableColumn id="11" name="ECTS notés">
      <calculatedColumnFormula>IF(AND(tModules[[#This Row],[Moyenne]]&lt;&gt;"",tModules[[#This Row],[Évalué]]&gt;=0.9999),N(tModules[[#This Row],[ECTS]]),0)</calculatedColumnFormula>
    </tableColumn>
  </tableColumns>
  <tableStyleInfo name="Halo" showFirstColumn="0" showLastColumn="0" showRowStripes="0" showColumnStripes="0"/>
</table>
</file>

<file path=xl/tables/table2.xml><?xml version="1.0" encoding="utf-8"?>
<table xmlns="http://schemas.openxmlformats.org/spreadsheetml/2006/main" id="2" name="tEvaluations" displayName="tEvaluations" ref="A1:H12" headerRowCount="1">
  <tableColumns count="8">
    <tableColumn id="1" name="Code"/>
    <tableColumn id="2" name="Évaluation"/>
    <tableColumn id="3" name="Type"/>
    <tableColumn id="4" name="Date"/>
    <tableColumn id="5" name="Poids"/>
    <tableColumn id="6" name="Note"/>
    <tableColumn id="7" name="Points">
      <calculatedColumnFormula>IF(OR(tEvaluations[[#This Row],[Note]]="",tEvaluations[[#This Row],[Poids]]=""),"",tEvaluations[[#This Row],[Note]]*tEvaluations[[#This Row],[Poids]])</calculatedColumnFormula>
    </tableColumn>
    <tableColumn id="8" name="Poids noté">
      <calculatedColumnFormula>IF(tEvaluations[[#This Row],[Note]]="",0,N(tEvaluations[[#This Row],[Poids]]))</calculatedColumnFormula>
    </tableColumn>
  </tableColumns>
  <tableStyleInfo name="Halo" showFirstColumn="0" showLastColumn="0" showRowStripes="0" showColumnStripes="0"/>
</table>
</file>

<file path=xl/theme/theme1.xml><?xml version="1.0" encoding="utf-8"?>
<a:theme xmlns:a="http://schemas.openxmlformats.org/drawingml/2006/main" name="Halo Ambre">
  <a:themeElements>
    <a:clrScheme name="Halo Ambre">
      <a:dk1>
        <a:srgbClr val="1D1D1F"/>
      </a:dk1>
      <a:lt1>
        <a:srgbClr val="FFFFFF"/>
      </a:lt1>
      <a:dk2>
        <a:srgbClr val="6C6C70"/>
      </a:dk2>
      <a:lt2>
        <a:srgbClr val="F2F2F7"/>
      </a:lt2>
      <a:accent1>
        <a:srgbClr val="5C4214"/>
      </a:accent1>
      <a:accent2>
        <a:srgbClr val="FA8921"/>
      </a:accent2>
      <a:accent3>
        <a:srgbClr val="00C5B1"/>
      </a:accent3>
      <a:accent4>
        <a:srgbClr val="CFA500"/>
      </a:accent4>
      <a:accent5>
        <a:srgbClr val="CB30E0"/>
      </a:accent5>
      <a:accent6>
        <a:srgbClr val="34C759"/>
      </a:accent6>
      <a:hlink>
        <a:srgbClr val="5C4214"/>
      </a:hlink>
      <a:folHlink>
        <a:srgbClr val="5747E7"/>
      </a:folHlink>
    </a:clrScheme>
    <a:fontScheme name="Halo Ambre">
      <a:majorFont>
        <a:latin typeface="Helvetica"/>
        <a:ea typeface=""/>
        <a:cs typeface=""/>
      </a:majorFont>
      <a:minorFont>
        <a:latin typeface="Helvetica"/>
        <a:ea typeface=""/>
        <a:cs typeface=""/>
      </a:minorFont>
    </a:fontScheme>
    <a:fmtScheme name="Halo Ambre">
      <a:fillStyleLst>
        <a:solidFill>
          <a:schemeClr val="phClr"/>
        </a:solidFill>
        <a:solidFill>
          <a:schemeClr val="phClr">
            <a:tint val="50000"/>
          </a:schemeClr>
        </a:solidFill>
        <a:solidFill>
          <a:schemeClr val="phClr">
            <a:shade val="85000"/>
          </a:schemeClr>
        </a:soli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76200" dist="12700" dir="5400000" algn="t" rotWithShape="0">
              <a:srgbClr val="000000">
                <a:alpha val="16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solidFill>
          <a:schemeClr val="phClr">
            <a:shade val="90000"/>
          </a:schemeClr>
        </a:soli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C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90" customWidth="1" min="3" max="3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Notes sur l’échelle suisse de 1 à 6 : moyenne de chaque module, note encore nécessaire, statut et crédits ECTS acquis.</t>
        </is>
      </c>
    </row>
    <row r="5" ht="22" customHeight="1">
      <c r="B5" s="3" t="inlineStr">
        <is>
          <t>Mode d’emploi</t>
        </is>
      </c>
    </row>
    <row r="6" ht="30" customHeight="1">
      <c r="B6" s="4" t="inlineStr">
        <is>
          <t>1.</t>
        </is>
      </c>
      <c r="C6" s="5" t="inlineStr">
        <is>
          <t>Dans « Paramètres », vérifiez la note de réussite, le seuil de remédiation et l’arrondi selon le règlement de votre filière, puis listez vos semestres.</t>
        </is>
      </c>
    </row>
    <row r="7" ht="16" customHeight="1">
      <c r="B7" s="4" t="inlineStr">
        <is>
          <t>2.</t>
        </is>
      </c>
      <c r="C7" s="5" t="inlineStr">
        <is>
          <t>Dans « Modules », une ligne par module : semestre, code, nom, crédits ECTS.</t>
        </is>
      </c>
    </row>
    <row r="8" ht="30" customHeight="1">
      <c r="B8" s="4" t="inlineStr">
        <is>
          <t>3.</t>
        </is>
      </c>
      <c r="C8" s="5" t="inlineStr">
        <is>
          <t>Dans « Évaluations », une ligne par examen, contrôle ou travail : code du module, poids (40 % = 0,4 ou 40 %) et note quand vous la recevez.</t>
        </is>
      </c>
    </row>
    <row r="9" ht="30" customHeight="1">
      <c r="B9" s="4" t="inlineStr">
        <is>
          <t>4.</t>
        </is>
      </c>
      <c r="C9" s="5" t="inlineStr">
        <is>
          <t>« Modules » calcule la moyenne et la note qu’il vous faut encore aux évaluations restantes ; « Synthèse » fait le bilan par semestre.</t>
        </is>
      </c>
    </row>
    <row r="11" ht="22" customHeight="1">
      <c r="B11" s="3" t="inlineStr">
        <is>
          <t>Couleurs des cellules</t>
        </is>
      </c>
    </row>
    <row r="12" ht="18" customHeight="1">
      <c r="B12" s="6" t="inlineStr">
        <is>
          <t>Paramètre</t>
        </is>
      </c>
      <c r="C12" t="inlineStr">
        <is>
          <t>À régler d’abord : date de début, membres, catégories…</t>
        </is>
      </c>
    </row>
    <row r="13" ht="18" customHeight="1">
      <c r="B13" s="7" t="inlineStr">
        <is>
          <t>Saisie</t>
        </is>
      </c>
      <c r="C13" t="inlineStr">
        <is>
          <t>Cellules blanches : vos données, ligne par ligne.</t>
        </is>
      </c>
    </row>
    <row r="14" ht="18" customHeight="1">
      <c r="B14" s="8" t="inlineStr">
        <is>
          <t>Calcul</t>
        </is>
      </c>
      <c r="C14" t="inlineStr">
        <is>
          <t>Cellules grises : calculées automatiquement, ne pas écraser.</t>
        </is>
      </c>
    </row>
    <row r="15">
      <c r="B15" s="9" t="inlineStr">
        <is>
          <t>Réussi</t>
        </is>
      </c>
      <c r="C15" t="inlineStr">
        <is>
          <t>Module terminé, moyenne au moins égale à la note de réussite : crédits acquis.</t>
        </is>
      </c>
    </row>
    <row r="16">
      <c r="B16" s="9" t="inlineStr">
        <is>
          <t>Remédiation</t>
        </is>
      </c>
      <c r="C16" t="inlineStr">
        <is>
          <t>Moyenne sous la note de réussite mais au-dessus du seuil : examen de remédiation possible.</t>
        </is>
      </c>
    </row>
    <row r="17">
      <c r="B17" s="9" t="inlineStr">
        <is>
          <t>En cours</t>
        </is>
      </c>
      <c r="C17" t="inlineStr">
        <is>
          <t>Toutes les évaluations ne sont pas encore notées.</t>
        </is>
      </c>
    </row>
    <row r="19" ht="22" customHeight="1">
      <c r="B19" s="3" t="inlineStr">
        <is>
          <t>Bon à savoir</t>
        </is>
      </c>
    </row>
    <row r="20" ht="16" customHeight="1">
      <c r="B20" s="4" t="inlineStr">
        <is>
          <t>·</t>
        </is>
      </c>
      <c r="C20" s="5" t="inlineStr">
        <is>
          <t>Les modules et les notes livrés sont des exemples : effacez-les avant de commencer.</t>
        </is>
      </c>
    </row>
    <row r="21" ht="30" customHeight="1">
      <c r="B21" s="4" t="inlineStr">
        <is>
          <t>·</t>
        </is>
      </c>
      <c r="C21" s="5" t="inlineStr">
        <is>
          <t>Les règles (réussite, remédiation, arrondi, compensation) varient selon les filières : le règlement d’études fait foi.</t>
        </is>
      </c>
    </row>
    <row r="23">
      <c r="B23" s="10" t="inlineStr">
        <is>
          <t>Modèle Halo · police Helvetica · nuance : Mise en page → Thèmes.</t>
        </is>
      </c>
    </row>
  </sheetData>
  <printOptions horizontalCentered="0"/>
  <pageMargins left="0.6" right="0.6" top="0.7" bottom="0.7" header="0.5" footer="0.5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B2:E2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26" customWidth="1" min="2" max="2"/>
    <col width="12" customWidth="1" min="3" max="3"/>
    <col width="12" customWidth="1" min="4" max="4"/>
    <col width="12" customWidth="1" min="5" max="5"/>
    <col width="4" customWidth="1" min="6" max="6"/>
  </cols>
  <sheetData>
    <row r="2" ht="30" customHeight="1">
      <c r="B2" s="1" t="inlineStr">
        <is>
          <t>Suivi des notes</t>
        </is>
      </c>
    </row>
    <row r="3" ht="18" customHeight="1">
      <c r="B3" s="2" t="inlineStr">
        <is>
          <t>Calculé à partir des modules et des évaluations.</t>
        </is>
      </c>
    </row>
    <row r="4">
      <c r="B4" s="2" t="inlineStr">
        <is>
          <t>Crédits ECTS acquis</t>
        </is>
      </c>
      <c r="C4" s="11">
        <f>SUM(tModules[ECTS acquis])</f>
        <v/>
      </c>
    </row>
    <row r="5">
      <c r="B5" s="2" t="inlineStr">
        <is>
          <t>sur</t>
        </is>
      </c>
      <c r="C5" s="12">
        <f>pTarget</f>
        <v/>
      </c>
    </row>
    <row r="6">
      <c r="B6" s="2" t="inlineStr">
        <is>
          <t>Progression</t>
        </is>
      </c>
      <c r="C6" s="13">
        <f>IF(pTarget=0,"",C4/C5)</f>
        <v/>
      </c>
    </row>
    <row r="7">
      <c r="B7" s="2" t="inlineStr">
        <is>
          <t>Moyenne pondérée (ECTS)</t>
        </is>
      </c>
      <c r="C7" s="14">
        <f>IF(SUM(tModules[ECTS notés])=0,"",SUM(tModules[Points ECTS])/SUM(tModules[ECTS notés]))</f>
        <v/>
      </c>
    </row>
    <row r="8">
      <c r="B8" s="2" t="inlineStr">
        <is>
          <t>Modules réussis</t>
        </is>
      </c>
      <c r="C8" s="12">
        <f>COUNTIF(tModules[Statut],"Réussi")</f>
        <v/>
      </c>
    </row>
    <row r="9">
      <c r="B9" s="2" t="inlineStr">
        <is>
          <t>En remédiation</t>
        </is>
      </c>
      <c r="C9" s="12">
        <f>COUNTIF(tModules[Statut],"Remédiation")</f>
        <v/>
      </c>
    </row>
    <row r="10">
      <c r="B10" s="2" t="inlineStr">
        <is>
          <t>En cours</t>
        </is>
      </c>
      <c r="C10" s="12">
        <f>COUNTIF(tModules[Statut],"En cours")+COUNTIF(tModules[Statut],"À venir")</f>
        <v/>
      </c>
    </row>
    <row r="12" ht="22" customHeight="1">
      <c r="B12" s="3" t="inlineStr">
        <is>
          <t>Par semestre</t>
        </is>
      </c>
    </row>
    <row r="13" ht="20" customHeight="1">
      <c r="B13" s="15" t="inlineStr">
        <is>
          <t>Semestre</t>
        </is>
      </c>
      <c r="C13" s="16" t="inlineStr">
        <is>
          <t>ECTS inscrits</t>
        </is>
      </c>
      <c r="D13" s="16" t="inlineStr">
        <is>
          <t>ECTS acquis</t>
        </is>
      </c>
      <c r="E13" s="16" t="inlineStr">
        <is>
          <t>Moyenne</t>
        </is>
      </c>
    </row>
    <row r="14">
      <c r="B14" s="17">
        <f>IF('Paramètres'!$E$4="","",'Paramètres'!$E$4)</f>
        <v/>
      </c>
      <c r="C14" s="12">
        <f>IF(B14="","",SUMIFS(tModules[ECTS],tModules[Semestre],B14))</f>
        <v/>
      </c>
      <c r="D14" s="12">
        <f>IF(B14="","",SUMIFS(tModules[ECTS acquis],tModules[Semestre],B14))</f>
        <v/>
      </c>
      <c r="E14" s="18">
        <f>IF(B14="","",IF(SUMIFS(tModules[ECTS notés],tModules[Semestre],B14)=0,"",SUMIFS(tModules[Points ECTS],tModules[Semestre],B14)/SUMIFS(tModules[ECTS notés],tModules[Semestre],B14)))</f>
        <v/>
      </c>
    </row>
    <row r="15">
      <c r="B15" s="17">
        <f>IF('Paramètres'!$E$5="","",'Paramètres'!$E$5)</f>
        <v/>
      </c>
      <c r="C15" s="12">
        <f>IF(B15="","",SUMIFS(tModules[ECTS],tModules[Semestre],B15))</f>
        <v/>
      </c>
      <c r="D15" s="12">
        <f>IF(B15="","",SUMIFS(tModules[ECTS acquis],tModules[Semestre],B15))</f>
        <v/>
      </c>
      <c r="E15" s="18">
        <f>IF(B15="","",IF(SUMIFS(tModules[ECTS notés],tModules[Semestre],B15)=0,"",SUMIFS(tModules[Points ECTS],tModules[Semestre],B15)/SUMIFS(tModules[ECTS notés],tModules[Semestre],B15)))</f>
        <v/>
      </c>
    </row>
    <row r="16">
      <c r="B16" s="17">
        <f>IF('Paramètres'!$E$6="","",'Paramètres'!$E$6)</f>
        <v/>
      </c>
      <c r="C16" s="12">
        <f>IF(B16="","",SUMIFS(tModules[ECTS],tModules[Semestre],B16))</f>
        <v/>
      </c>
      <c r="D16" s="12">
        <f>IF(B16="","",SUMIFS(tModules[ECTS acquis],tModules[Semestre],B16))</f>
        <v/>
      </c>
      <c r="E16" s="18">
        <f>IF(B16="","",IF(SUMIFS(tModules[ECTS notés],tModules[Semestre],B16)=0,"",SUMIFS(tModules[Points ECTS],tModules[Semestre],B16)/SUMIFS(tModules[ECTS notés],tModules[Semestre],B16)))</f>
        <v/>
      </c>
    </row>
    <row r="17">
      <c r="B17" s="17">
        <f>IF('Paramètres'!$E$7="","",'Paramètres'!$E$7)</f>
        <v/>
      </c>
      <c r="C17" s="12">
        <f>IF(B17="","",SUMIFS(tModules[ECTS],tModules[Semestre],B17))</f>
        <v/>
      </c>
      <c r="D17" s="12">
        <f>IF(B17="","",SUMIFS(tModules[ECTS acquis],tModules[Semestre],B17))</f>
        <v/>
      </c>
      <c r="E17" s="18">
        <f>IF(B17="","",IF(SUMIFS(tModules[ECTS notés],tModules[Semestre],B17)=0,"",SUMIFS(tModules[Points ECTS],tModules[Semestre],B17)/SUMIFS(tModules[ECTS notés],tModules[Semestre],B17)))</f>
        <v/>
      </c>
    </row>
    <row r="18">
      <c r="B18" s="17">
        <f>IF('Paramètres'!$E$8="","",'Paramètres'!$E$8)</f>
        <v/>
      </c>
      <c r="C18" s="12">
        <f>IF(B18="","",SUMIFS(tModules[ECTS],tModules[Semestre],B18))</f>
        <v/>
      </c>
      <c r="D18" s="12">
        <f>IF(B18="","",SUMIFS(tModules[ECTS acquis],tModules[Semestre],B18))</f>
        <v/>
      </c>
      <c r="E18" s="18">
        <f>IF(B18="","",IF(SUMIFS(tModules[ECTS notés],tModules[Semestre],B18)=0,"",SUMIFS(tModules[Points ECTS],tModules[Semestre],B18)/SUMIFS(tModules[ECTS notés],tModules[Semestre],B18)))</f>
        <v/>
      </c>
    </row>
    <row r="19">
      <c r="B19" s="17">
        <f>IF('Paramètres'!$E$9="","",'Paramètres'!$E$9)</f>
        <v/>
      </c>
      <c r="C19" s="12">
        <f>IF(B19="","",SUMIFS(tModules[ECTS],tModules[Semestre],B19))</f>
        <v/>
      </c>
      <c r="D19" s="12">
        <f>IF(B19="","",SUMIFS(tModules[ECTS acquis],tModules[Semestre],B19))</f>
        <v/>
      </c>
      <c r="E19" s="18">
        <f>IF(B19="","",IF(SUMIFS(tModules[ECTS notés],tModules[Semestre],B19)=0,"",SUMIFS(tModules[Points ECTS],tModules[Semestre],B19)/SUMIFS(tModules[ECTS notés],tModules[Semestre],B19)))</f>
        <v/>
      </c>
    </row>
    <row r="20">
      <c r="B20" s="17">
        <f>IF('Paramètres'!$E$10="","",'Paramètres'!$E$10)</f>
        <v/>
      </c>
      <c r="C20" s="12">
        <f>IF(B20="","",SUMIFS(tModules[ECTS],tModules[Semestre],B20))</f>
        <v/>
      </c>
      <c r="D20" s="12">
        <f>IF(B20="","",SUMIFS(tModules[ECTS acquis],tModules[Semestre],B20))</f>
        <v/>
      </c>
      <c r="E20" s="18">
        <f>IF(B20="","",IF(SUMIFS(tModules[ECTS notés],tModules[Semestre],B20)=0,"",SUMIFS(tModules[Points ECTS],tModules[Semestre],B20)/SUMIFS(tModules[ECTS notés],tModules[Semestre],B20)))</f>
        <v/>
      </c>
    </row>
    <row r="21">
      <c r="B21" s="17">
        <f>IF('Paramètres'!$E$11="","",'Paramètres'!$E$11)</f>
        <v/>
      </c>
      <c r="C21" s="12">
        <f>IF(B21="","",SUMIFS(tModules[ECTS],tModules[Semestre],B21))</f>
        <v/>
      </c>
      <c r="D21" s="12">
        <f>IF(B21="","",SUMIFS(tModules[ECTS acquis],tModules[Semestre],B21))</f>
        <v/>
      </c>
      <c r="E21" s="18">
        <f>IF(B21="","",IF(SUMIFS(tModules[ECTS notés],tModules[Semestre],B21)=0,"",SUMIFS(tModules[Points ECTS],tModules[Semestre],B21)/SUMIFS(tModules[ECTS notés],tModules[Semestre],B21)))</f>
        <v/>
      </c>
    </row>
    <row r="22">
      <c r="B22" s="17">
        <f>IF('Paramètres'!$E$12="","",'Paramètres'!$E$12)</f>
        <v/>
      </c>
      <c r="C22" s="12">
        <f>IF(B22="","",SUMIFS(tModules[ECTS],tModules[Semestre],B22))</f>
        <v/>
      </c>
      <c r="D22" s="12">
        <f>IF(B22="","",SUMIFS(tModules[ECTS acquis],tModules[Semestre],B22))</f>
        <v/>
      </c>
      <c r="E22" s="18">
        <f>IF(B22="","",IF(SUMIFS(tModules[ECTS notés],tModules[Semestre],B22)=0,"",SUMIFS(tModules[Points ECTS],tModules[Semestre],B22)/SUMIFS(tModules[ECTS notés],tModules[Semestre],B22)))</f>
        <v/>
      </c>
    </row>
    <row r="23">
      <c r="B23" s="17">
        <f>IF('Paramètres'!$E$13="","",'Paramètres'!$E$13)</f>
        <v/>
      </c>
      <c r="C23" s="12">
        <f>IF(B23="","",SUMIFS(tModules[ECTS],tModules[Semestre],B23))</f>
        <v/>
      </c>
      <c r="D23" s="12">
        <f>IF(B23="","",SUMIFS(tModules[ECTS acquis],tModules[Semestre],B23))</f>
        <v/>
      </c>
      <c r="E23" s="18">
        <f>IF(B23="","",IF(SUMIFS(tModules[ECTS notés],tModules[Semestre],B23)=0,"",SUMIFS(tModules[Points ECTS],tModules[Semestre],B23)/SUMIFS(tModules[ECTS notés],tModules[Semestre],B23)))</f>
        <v/>
      </c>
    </row>
  </sheetData>
  <conditionalFormatting sqref="C6">
    <cfRule type="dataBar" priority="1">
      <dataBar showValue="1">
        <cfvo type="num" val="0"/>
        <cfvo type="num" val="1"/>
        <color theme="4"/>
      </dataBar>
    </cfRule>
  </conditionalFormatting>
  <printOptions horizontalCentered="0"/>
  <pageMargins left="0.6" right="0.6" top="0.7" bottom="0.7" header="0.5" footer="0.5"/>
  <pageSetup orientation="portrait" paperSize="9" fitToHeight="0" fitToWidth="1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6"/>
  <sheetViews>
    <sheetView showGridLines="0" zoomScale="110"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0" customWidth="1" min="2" max="2"/>
    <col width="34" customWidth="1" min="3" max="3"/>
    <col width="8" customWidth="1" min="4" max="4"/>
    <col width="10" customWidth="1" min="5" max="5"/>
    <col width="11" customWidth="1" min="6" max="6"/>
    <col width="12" customWidth="1" min="7" max="7"/>
    <col width="14" customWidth="1" min="8" max="8"/>
    <col width="12" customWidth="1" min="9" max="9"/>
    <col hidden="1" width="12" customWidth="1" min="10" max="10"/>
    <col hidden="1" width="12" customWidth="1" min="11" max="11"/>
  </cols>
  <sheetData>
    <row r="1" ht="20" customHeight="1">
      <c r="A1" s="15" t="inlineStr">
        <is>
          <t>Semestre</t>
        </is>
      </c>
      <c r="B1" s="15" t="inlineStr">
        <is>
          <t>Code</t>
        </is>
      </c>
      <c r="C1" s="15" t="inlineStr">
        <is>
          <t>Module</t>
        </is>
      </c>
      <c r="D1" s="16" t="inlineStr">
        <is>
          <t>ECTS</t>
        </is>
      </c>
      <c r="E1" s="16" t="inlineStr">
        <is>
          <t>Évalué</t>
        </is>
      </c>
      <c r="F1" s="16" t="inlineStr">
        <is>
          <t>Moyenne</t>
        </is>
      </c>
      <c r="G1" s="16" t="inlineStr">
        <is>
          <t>Note requise</t>
        </is>
      </c>
      <c r="H1" s="15" t="inlineStr">
        <is>
          <t>Statut</t>
        </is>
      </c>
      <c r="I1" s="16" t="inlineStr">
        <is>
          <t>ECTS acquis</t>
        </is>
      </c>
      <c r="J1" s="16" t="inlineStr">
        <is>
          <t>Points ECTS</t>
        </is>
      </c>
      <c r="K1" s="16" t="inlineStr">
        <is>
          <t>ECTS notés</t>
        </is>
      </c>
    </row>
    <row r="2">
      <c r="A2" s="19" t="inlineStr">
        <is>
          <t>S1 · automne 2025</t>
        </is>
      </c>
      <c r="B2" s="19" t="inlineStr">
        <is>
          <t>A101</t>
        </is>
      </c>
      <c r="C2" s="19" t="inlineStr">
        <is>
          <t>Introduction à la programmation</t>
        </is>
      </c>
      <c r="D2" s="20" t="n">
        <v>6</v>
      </c>
      <c r="E2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2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2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2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2" s="12">
        <f>IF(tModules[[#This Row],[Statut]]="Réussi",N(tModules[[#This Row],[ECTS]]),0)</f>
        <v/>
      </c>
      <c r="J2" s="22">
        <f>IF(AND(tModules[[#This Row],[Moyenne]]&lt;&gt;"",tModules[[#This Row],[Évalué]]&gt;=0.9999),tModules[[#This Row],[Moyenne]]*N(tModules[[#This Row],[ECTS]]),"")</f>
        <v/>
      </c>
      <c r="K2" s="12">
        <f>IF(AND(tModules[[#This Row],[Moyenne]]&lt;&gt;"",tModules[[#This Row],[Évalué]]&gt;=0.9999),N(tModules[[#This Row],[ECTS]]),0)</f>
        <v/>
      </c>
    </row>
    <row r="3">
      <c r="A3" s="19" t="inlineStr">
        <is>
          <t>S1 · automne 2025</t>
        </is>
      </c>
      <c r="B3" s="19" t="inlineStr">
        <is>
          <t>A102</t>
        </is>
      </c>
      <c r="C3" s="19" t="inlineStr">
        <is>
          <t>Gestion d’entreprise</t>
        </is>
      </c>
      <c r="D3" s="20" t="n">
        <v>5</v>
      </c>
      <c r="E3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3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3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3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3" s="12">
        <f>IF(tModules[[#This Row],[Statut]]="Réussi",N(tModules[[#This Row],[ECTS]]),0)</f>
        <v/>
      </c>
      <c r="J3" s="22">
        <f>IF(AND(tModules[[#This Row],[Moyenne]]&lt;&gt;"",tModules[[#This Row],[Évalué]]&gt;=0.9999),tModules[[#This Row],[Moyenne]]*N(tModules[[#This Row],[ECTS]]),"")</f>
        <v/>
      </c>
      <c r="K3" s="12">
        <f>IF(AND(tModules[[#This Row],[Moyenne]]&lt;&gt;"",tModules[[#This Row],[Évalué]]&gt;=0.9999),N(tModules[[#This Row],[ECTS]]),0)</f>
        <v/>
      </c>
    </row>
    <row r="4">
      <c r="A4" s="19" t="inlineStr">
        <is>
          <t>S1 · automne 2025</t>
        </is>
      </c>
      <c r="B4" s="19" t="inlineStr">
        <is>
          <t>A103</t>
        </is>
      </c>
      <c r="C4" s="19" t="inlineStr">
        <is>
          <t>Mathématiques</t>
        </is>
      </c>
      <c r="D4" s="20" t="n">
        <v>4</v>
      </c>
      <c r="E4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4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4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4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4" s="12">
        <f>IF(tModules[[#This Row],[Statut]]="Réussi",N(tModules[[#This Row],[ECTS]]),0)</f>
        <v/>
      </c>
      <c r="J4" s="22">
        <f>IF(AND(tModules[[#This Row],[Moyenne]]&lt;&gt;"",tModules[[#This Row],[Évalué]]&gt;=0.9999),tModules[[#This Row],[Moyenne]]*N(tModules[[#This Row],[ECTS]]),"")</f>
        <v/>
      </c>
      <c r="K4" s="12">
        <f>IF(AND(tModules[[#This Row],[Moyenne]]&lt;&gt;"",tModules[[#This Row],[Évalué]]&gt;=0.9999),N(tModules[[#This Row],[ECTS]]),0)</f>
        <v/>
      </c>
    </row>
    <row r="5">
      <c r="A5" s="19" t="inlineStr">
        <is>
          <t>S2 · printemps 2026</t>
        </is>
      </c>
      <c r="B5" s="19" t="inlineStr">
        <is>
          <t>B201</t>
        </is>
      </c>
      <c r="C5" s="19" t="inlineStr">
        <is>
          <t>Bases de données</t>
        </is>
      </c>
      <c r="D5" s="20" t="n">
        <v>5</v>
      </c>
      <c r="E5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5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5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5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5" s="12">
        <f>IF(tModules[[#This Row],[Statut]]="Réussi",N(tModules[[#This Row],[ECTS]]),0)</f>
        <v/>
      </c>
      <c r="J5" s="22">
        <f>IF(AND(tModules[[#This Row],[Moyenne]]&lt;&gt;"",tModules[[#This Row],[Évalué]]&gt;=0.9999),tModules[[#This Row],[Moyenne]]*N(tModules[[#This Row],[ECTS]]),"")</f>
        <v/>
      </c>
      <c r="K5" s="12">
        <f>IF(AND(tModules[[#This Row],[Moyenne]]&lt;&gt;"",tModules[[#This Row],[Évalué]]&gt;=0.9999),N(tModules[[#This Row],[ECTS]]),0)</f>
        <v/>
      </c>
    </row>
    <row r="6">
      <c r="A6" s="19" t="inlineStr">
        <is>
          <t>S3 · automne 2026</t>
        </is>
      </c>
      <c r="B6" s="19" t="inlineStr">
        <is>
          <t>C301</t>
        </is>
      </c>
      <c r="C6" s="19" t="inlineStr">
        <is>
          <t>Analyse de données</t>
        </is>
      </c>
      <c r="D6" s="20" t="n">
        <v>5</v>
      </c>
      <c r="E6" s="13">
        <f>IF(tModules[[#This Row],[Code]]="","",IF(SUMIFS(tEvaluations[Poids],tEvaluations[Code],tModules[[#This Row],[Code]])=0,0,SUMIFS(tEvaluations[Poids noté],tEvaluations[Code],tModules[[#This Row],[Code]])/SUMIFS(tEvaluations[Poids],tEvaluations[Code],tModules[[#This Row],[Code]])))</f>
        <v/>
      </c>
      <c r="F6" s="21">
        <f>IF(OR(tModules[[#This Row],[Code]]="",SUMIFS(tEvaluations[Poids noté],tEvaluations[Code],tModules[[#This Row],[Code]])=0),"",ROUND(ROUND(SUMIFS(tEvaluations[Points],tEvaluations[Code],tModules[[#This Row],[Code]])/SUMIFS(tEvaluations[Poids noté],tEvaluations[Code],tModules[[#This Row],[Code]]),6)/pRound,0)*pRound)</f>
        <v/>
      </c>
      <c r="G6" s="18">
        <f>IF(OR(tModules[[#This Row],[Code]]="",SUMIFS(tEvaluations[Poids],tEvaluations[Code],tModules[[#This Row],[Code]])-SUMIFS(tEvaluations[Poids noté],tEvaluations[Code],tModules[[#This Row],[Code]])&lt;=0.0001),"",IF((pPass*SUMIFS(tEvaluations[Poids],tEvaluations[Code],tModules[[#This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Row],[Code]]))&gt;pMax,"&gt; "&amp;TEXT(pMax,"0.0"),MAX(pMin,(pPass*SUMIFS(tEvaluations[Poids],tEvaluations[Code],tModules[[#This Row],[Code]])-SUMIFS(tEvaluations[Points],tEvaluations[Code],tModules[[#This Row],[Code]]))/(SUMIFS(tEvaluations[Poids],tEvaluations[Code],tModules[[#This Row],[Code]])-SUMIFS(tEvaluations[Poids noté],tEvaluations[Code],tModules[[#This Row],[Code]])))))</f>
        <v/>
      </c>
      <c r="H6" s="17">
        <f>IF(tModules[[#This Row],[Code]]="","",IF(tModules[[#This Row],[Moyenne]]="","À venir",IF(tModules[[#This Row],[Évalué]]&lt;0.9999,"En cours",IF(tModules[[#This Row],[Moyenne]]&gt;=pPass,"Réussi",IF(tModules[[#This Row],[Moyenne]]&gt;=pResit,"Remédiation","Échec")))))</f>
        <v/>
      </c>
      <c r="I6" s="12">
        <f>IF(tModules[[#This Row],[Statut]]="Réussi",N(tModules[[#This Row],[ECTS]]),0)</f>
        <v/>
      </c>
      <c r="J6" s="22">
        <f>IF(AND(tModules[[#This Row],[Moyenne]]&lt;&gt;"",tModules[[#This Row],[Évalué]]&gt;=0.9999),tModules[[#This Row],[Moyenne]]*N(tModules[[#This Row],[ECTS]]),"")</f>
        <v/>
      </c>
      <c r="K6" s="12">
        <f>IF(AND(tModules[[#This Row],[Moyenne]]&lt;&gt;"",tModules[[#This Row],[Évalué]]&gt;=0.9999),N(tModules[[#This Row],[ECTS]]),0)</f>
        <v/>
      </c>
    </row>
  </sheetData>
  <conditionalFormatting sqref="H2:H200">
    <cfRule type="cellIs" priority="1" operator="equal" dxfId="4">
      <formula>"Réussi"</formula>
    </cfRule>
    <cfRule type="cellIs" priority="2" operator="equal" dxfId="5">
      <formula>"Remédiation"</formula>
    </cfRule>
    <cfRule type="cellIs" priority="3" operator="equal" dxfId="6">
      <formula>"Échec"</formula>
    </cfRule>
    <cfRule type="cellIs" priority="4" operator="equal" dxfId="7">
      <formula>"En cours"</formula>
    </cfRule>
  </conditionalFormatting>
  <conditionalFormatting sqref="F2:F200">
    <cfRule type="expression" priority="5" dxfId="6">
      <formula>AND(ISNUMBER(F2),F2&lt;pPass)</formula>
    </cfRule>
  </conditionalFormatting>
  <conditionalFormatting sqref="E2:E200">
    <cfRule type="dataBar" priority="6">
      <dataBar showValue="1">
        <cfvo type="num" val="0"/>
        <cfvo type="num" val="1"/>
        <color theme="4"/>
      </dataBar>
    </cfRule>
  </conditionalFormatting>
  <dataValidations count="2">
    <dataValidation sqref="A2:A200" showDropDown="0" showInputMessage="1" showErrorMessage="0" allowBlank="1" promptTitle="Semestre" prompt="Semestres listés dans « Paramètres »." type="list">
      <formula1>=lstSemesters</formula1>
    </dataValidation>
    <dataValidation sqref="D2:D200" showDropDown="0" showInputMessage="0" showErrorMessage="1" allowBlank="1" errorTitle="ECTS" error="Crédits ECTS entre 0 et 30." type="decimal" operator="between">
      <formula1>0</formula1>
      <formula2>30</formula2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H12"/>
  <sheetViews>
    <sheetView showGridLines="0" zoomScale="11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0" customWidth="1" min="2" max="2"/>
    <col width="16" customWidth="1" min="3" max="3"/>
    <col width="13" customWidth="1" min="4" max="4"/>
    <col width="10" customWidth="1" min="5" max="5"/>
    <col width="9" customWidth="1" min="6" max="6"/>
    <col width="10" customWidth="1" min="7" max="7"/>
    <col width="12" customWidth="1" min="8" max="8"/>
  </cols>
  <sheetData>
    <row r="1" ht="20" customHeight="1">
      <c r="A1" s="15" t="inlineStr">
        <is>
          <t>Code</t>
        </is>
      </c>
      <c r="B1" s="15" t="inlineStr">
        <is>
          <t>Évaluation</t>
        </is>
      </c>
      <c r="C1" s="15" t="inlineStr">
        <is>
          <t>Type</t>
        </is>
      </c>
      <c r="D1" s="15" t="inlineStr">
        <is>
          <t>Date</t>
        </is>
      </c>
      <c r="E1" s="16" t="inlineStr">
        <is>
          <t>Poids</t>
        </is>
      </c>
      <c r="F1" s="16" t="inlineStr">
        <is>
          <t>Note</t>
        </is>
      </c>
      <c r="G1" s="16" t="inlineStr">
        <is>
          <t>Points</t>
        </is>
      </c>
      <c r="H1" s="16" t="inlineStr">
        <is>
          <t>Poids noté</t>
        </is>
      </c>
    </row>
    <row r="2">
      <c r="A2" s="19" t="inlineStr">
        <is>
          <t>A101</t>
        </is>
      </c>
      <c r="B2" s="19" t="inlineStr">
        <is>
          <t>Contrôle continu</t>
        </is>
      </c>
      <c r="C2" s="19" t="inlineStr">
        <is>
          <t>Contrôle</t>
        </is>
      </c>
      <c r="D2" s="23" t="n">
        <v>45967</v>
      </c>
      <c r="E2" s="24" t="n">
        <v>0.4</v>
      </c>
      <c r="F2" s="25" t="n">
        <v>4.5</v>
      </c>
      <c r="G2" s="18">
        <f>IF(OR(tEvaluations[[#This Row],[Note]]="",tEvaluations[[#This Row],[Poids]]=""),"",tEvaluations[[#This Row],[Note]]*tEvaluations[[#This Row],[Poids]])</f>
        <v/>
      </c>
      <c r="H2" s="13">
        <f>IF(tEvaluations[[#This Row],[Note]]="",0,N(tEvaluations[[#This Row],[Poids]]))</f>
        <v/>
      </c>
    </row>
    <row r="3">
      <c r="A3" s="19" t="inlineStr">
        <is>
          <t>A101</t>
        </is>
      </c>
      <c r="B3" s="19" t="inlineStr">
        <is>
          <t>Examen final</t>
        </is>
      </c>
      <c r="C3" s="19" t="inlineStr">
        <is>
          <t>Examen</t>
        </is>
      </c>
      <c r="D3" s="23" t="n">
        <v>46044</v>
      </c>
      <c r="E3" s="24" t="n">
        <v>0.6</v>
      </c>
      <c r="F3" s="25" t="n">
        <v>4.2</v>
      </c>
      <c r="G3" s="18">
        <f>IF(OR(tEvaluations[[#This Row],[Note]]="",tEvaluations[[#This Row],[Poids]]=""),"",tEvaluations[[#This Row],[Note]]*tEvaluations[[#This Row],[Poids]])</f>
        <v/>
      </c>
      <c r="H3" s="13">
        <f>IF(tEvaluations[[#This Row],[Note]]="",0,N(tEvaluations[[#This Row],[Poids]]))</f>
        <v/>
      </c>
    </row>
    <row r="4">
      <c r="A4" s="19" t="inlineStr">
        <is>
          <t>A102</t>
        </is>
      </c>
      <c r="B4" s="19" t="inlineStr">
        <is>
          <t>Projet de groupe</t>
        </is>
      </c>
      <c r="C4" s="19" t="inlineStr">
        <is>
          <t>Projet</t>
        </is>
      </c>
      <c r="D4" s="23" t="n">
        <v>46009</v>
      </c>
      <c r="E4" s="24" t="n">
        <v>0.5</v>
      </c>
      <c r="F4" s="25" t="n">
        <v>5</v>
      </c>
      <c r="G4" s="18">
        <f>IF(OR(tEvaluations[[#This Row],[Note]]="",tEvaluations[[#This Row],[Poids]]=""),"",tEvaluations[[#This Row],[Note]]*tEvaluations[[#This Row],[Poids]])</f>
        <v/>
      </c>
      <c r="H4" s="13">
        <f>IF(tEvaluations[[#This Row],[Note]]="",0,N(tEvaluations[[#This Row],[Poids]]))</f>
        <v/>
      </c>
    </row>
    <row r="5">
      <c r="A5" s="19" t="inlineStr">
        <is>
          <t>A102</t>
        </is>
      </c>
      <c r="B5" s="19" t="inlineStr">
        <is>
          <t>Examen final</t>
        </is>
      </c>
      <c r="C5" s="19" t="inlineStr">
        <is>
          <t>Examen</t>
        </is>
      </c>
      <c r="D5" s="23" t="n">
        <v>46049</v>
      </c>
      <c r="E5" s="24" t="n">
        <v>0.5</v>
      </c>
      <c r="F5" s="25" t="n">
        <v>3.4</v>
      </c>
      <c r="G5" s="18">
        <f>IF(OR(tEvaluations[[#This Row],[Note]]="",tEvaluations[[#This Row],[Poids]]=""),"",tEvaluations[[#This Row],[Note]]*tEvaluations[[#This Row],[Poids]])</f>
        <v/>
      </c>
      <c r="H5" s="13">
        <f>IF(tEvaluations[[#This Row],[Note]]="",0,N(tEvaluations[[#This Row],[Poids]]))</f>
        <v/>
      </c>
    </row>
    <row r="6">
      <c r="A6" s="19" t="inlineStr">
        <is>
          <t>A103</t>
        </is>
      </c>
      <c r="B6" s="19" t="inlineStr">
        <is>
          <t>Travail écrit</t>
        </is>
      </c>
      <c r="C6" s="19" t="inlineStr">
        <is>
          <t>Travail écrit</t>
        </is>
      </c>
      <c r="D6" s="23" t="n">
        <v>46003</v>
      </c>
      <c r="E6" s="24" t="n">
        <v>0.3</v>
      </c>
      <c r="F6" s="25" t="n">
        <v>3.5</v>
      </c>
      <c r="G6" s="18">
        <f>IF(OR(tEvaluations[[#This Row],[Note]]="",tEvaluations[[#This Row],[Poids]]=""),"",tEvaluations[[#This Row],[Note]]*tEvaluations[[#This Row],[Poids]])</f>
        <v/>
      </c>
      <c r="H6" s="13">
        <f>IF(tEvaluations[[#This Row],[Note]]="",0,N(tEvaluations[[#This Row],[Poids]]))</f>
        <v/>
      </c>
    </row>
    <row r="7">
      <c r="A7" s="19" t="inlineStr">
        <is>
          <t>A103</t>
        </is>
      </c>
      <c r="B7" s="19" t="inlineStr">
        <is>
          <t>Examen final</t>
        </is>
      </c>
      <c r="C7" s="19" t="inlineStr">
        <is>
          <t>Examen</t>
        </is>
      </c>
      <c r="D7" s="23" t="n">
        <v>46051</v>
      </c>
      <c r="E7" s="24" t="n">
        <v>0.7</v>
      </c>
      <c r="F7" s="25" t="n">
        <v>3.6</v>
      </c>
      <c r="G7" s="18">
        <f>IF(OR(tEvaluations[[#This Row],[Note]]="",tEvaluations[[#This Row],[Poids]]=""),"",tEvaluations[[#This Row],[Note]]*tEvaluations[[#This Row],[Poids]])</f>
        <v/>
      </c>
      <c r="H7" s="13">
        <f>IF(tEvaluations[[#This Row],[Note]]="",0,N(tEvaluations[[#This Row],[Poids]]))</f>
        <v/>
      </c>
    </row>
    <row r="8">
      <c r="A8" s="19" t="inlineStr">
        <is>
          <t>B201</t>
        </is>
      </c>
      <c r="B8" s="19" t="inlineStr">
        <is>
          <t>Contrôle 1</t>
        </is>
      </c>
      <c r="C8" s="19" t="inlineStr">
        <is>
          <t>Contrôle</t>
        </is>
      </c>
      <c r="D8" s="23" t="n">
        <v>46107</v>
      </c>
      <c r="E8" s="24" t="n">
        <v>0.25</v>
      </c>
      <c r="F8" s="25" t="n">
        <v>5.5</v>
      </c>
      <c r="G8" s="18">
        <f>IF(OR(tEvaluations[[#This Row],[Note]]="",tEvaluations[[#This Row],[Poids]]=""),"",tEvaluations[[#This Row],[Note]]*tEvaluations[[#This Row],[Poids]])</f>
        <v/>
      </c>
      <c r="H8" s="13">
        <f>IF(tEvaluations[[#This Row],[Note]]="",0,N(tEvaluations[[#This Row],[Poids]]))</f>
        <v/>
      </c>
    </row>
    <row r="9">
      <c r="A9" s="19" t="inlineStr">
        <is>
          <t>B201</t>
        </is>
      </c>
      <c r="B9" s="19" t="inlineStr">
        <is>
          <t>Contrôle 2</t>
        </is>
      </c>
      <c r="C9" s="19" t="inlineStr">
        <is>
          <t>Contrôle</t>
        </is>
      </c>
      <c r="D9" s="23" t="n">
        <v>46149</v>
      </c>
      <c r="E9" s="24" t="n">
        <v>0.25</v>
      </c>
      <c r="F9" s="25" t="n">
        <v>4.8</v>
      </c>
      <c r="G9" s="18">
        <f>IF(OR(tEvaluations[[#This Row],[Note]]="",tEvaluations[[#This Row],[Poids]]=""),"",tEvaluations[[#This Row],[Note]]*tEvaluations[[#This Row],[Poids]])</f>
        <v/>
      </c>
      <c r="H9" s="13">
        <f>IF(tEvaluations[[#This Row],[Note]]="",0,N(tEvaluations[[#This Row],[Poids]]))</f>
        <v/>
      </c>
    </row>
    <row r="10">
      <c r="A10" s="19" t="inlineStr">
        <is>
          <t>B201</t>
        </is>
      </c>
      <c r="B10" s="19" t="inlineStr">
        <is>
          <t>Examen final</t>
        </is>
      </c>
      <c r="C10" s="19" t="inlineStr">
        <is>
          <t>Examen</t>
        </is>
      </c>
      <c r="D10" s="23" t="n">
        <v>46191</v>
      </c>
      <c r="E10" s="24" t="n">
        <v>0.5</v>
      </c>
      <c r="F10" s="25" t="n">
        <v>4.6</v>
      </c>
      <c r="G10" s="18">
        <f>IF(OR(tEvaluations[[#This Row],[Note]]="",tEvaluations[[#This Row],[Poids]]=""),"",tEvaluations[[#This Row],[Note]]*tEvaluations[[#This Row],[Poids]])</f>
        <v/>
      </c>
      <c r="H10" s="13">
        <f>IF(tEvaluations[[#This Row],[Note]]="",0,N(tEvaluations[[#This Row],[Poids]]))</f>
        <v/>
      </c>
    </row>
    <row r="11">
      <c r="A11" s="19" t="inlineStr">
        <is>
          <t>C301</t>
        </is>
      </c>
      <c r="B11" s="19" t="inlineStr">
        <is>
          <t>Contrôle continu</t>
        </is>
      </c>
      <c r="C11" s="19" t="inlineStr">
        <is>
          <t>Contrôle</t>
        </is>
      </c>
      <c r="D11" s="23" t="n">
        <v>46324</v>
      </c>
      <c r="E11" s="24" t="n">
        <v>0.4</v>
      </c>
      <c r="F11" s="25" t="n">
        <v>3.8</v>
      </c>
      <c r="G11" s="18">
        <f>IF(OR(tEvaluations[[#This Row],[Note]]="",tEvaluations[[#This Row],[Poids]]=""),"",tEvaluations[[#This Row],[Note]]*tEvaluations[[#This Row],[Poids]])</f>
        <v/>
      </c>
      <c r="H11" s="13">
        <f>IF(tEvaluations[[#This Row],[Note]]="",0,N(tEvaluations[[#This Row],[Poids]]))</f>
        <v/>
      </c>
    </row>
    <row r="12">
      <c r="A12" s="19" t="inlineStr">
        <is>
          <t>C301</t>
        </is>
      </c>
      <c r="B12" s="19" t="inlineStr">
        <is>
          <t>Examen final</t>
        </is>
      </c>
      <c r="C12" s="19" t="inlineStr">
        <is>
          <t>Examen</t>
        </is>
      </c>
      <c r="D12" s="23" t="n">
        <v>46408</v>
      </c>
      <c r="E12" s="24" t="n">
        <v>0.6</v>
      </c>
      <c r="F12" s="25" t="n"/>
      <c r="G12" s="18">
        <f>IF(OR(tEvaluations[[#This Row],[Note]]="",tEvaluations[[#This Row],[Poids]]=""),"",tEvaluations[[#This Row],[Note]]*tEvaluations[[#This Row],[Poids]])</f>
        <v/>
      </c>
      <c r="H12" s="13">
        <f>IF(tEvaluations[[#This Row],[Note]]="",0,N(tEvaluations[[#This Row],[Poids]]))</f>
        <v/>
      </c>
    </row>
  </sheetData>
  <dataValidations count="5">
    <dataValidation sqref="A2:A3000" showDropDown="0" showInputMessage="1" showErrorMessage="0" allowBlank="1" promptTitle="Code" prompt="Codes listés dans « Modules »." type="list">
      <formula1>=lstCodes</formula1>
    </dataValidation>
    <dataValidation sqref="C2:C3000" showDropDown="0" showInputMessage="0" showErrorMessage="0" allowBlank="1" type="list">
      <formula1>"Examen,Contrôle,Projet,Travail écrit,Oral,Participation"</formula1>
    </dataValidation>
    <dataValidation sqref="E2:E3000" showDropDown="0" showInputMessage="0" showErrorMessage="1" allowBlank="1" errorTitle="Poids" error="Poids entre 0 % et 100 %." type="decimal" operator="between">
      <formula1>0</formula1>
      <formula2>1</formula2>
    </dataValidation>
    <dataValidation sqref="F2:F3000" showDropDown="0" showInputMessage="0" showErrorMessage="1" allowBlank="1" errorTitle="Note" error="Note entre 1 et 6." type="decimal" operator="between">
      <formula1>1</formula1>
      <formula2>6</formula2>
    </dataValidation>
    <dataValidation sqref="D2:D3000" showDropDown="0" showInputMessage="0" showErrorMessage="1" allowBlank="1" errorTitle="Date" error="Saisissez une date (jj.mm.aaaa)." type="date" operator="greaterThan">
      <formula1>36526</formula1>
    </dataValidation>
  </dataValidations>
  <printOptions horizontalCentered="0"/>
  <pageMargins left="0.6" right="0.6" top="0.7" bottom="0.7" header="0.5" footer="0.5"/>
  <pageSetup orientation="portrait" paperSize="9"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B2:E13"/>
  <sheetViews>
    <sheetView showGridLines="0" zoomScale="110" workbookViewId="0">
      <selection activeCell="A1" sqref="A1"/>
    </sheetView>
  </sheetViews>
  <sheetFormatPr baseColWidth="8" defaultRowHeight="15"/>
  <cols>
    <col width="3" customWidth="1" min="1" max="1"/>
    <col width="30" customWidth="1" min="2" max="2"/>
    <col width="12" customWidth="1" min="3" max="3"/>
    <col width="4" customWidth="1" min="4" max="4"/>
    <col width="26" customWidth="1" min="5" max="5"/>
  </cols>
  <sheetData>
    <row r="2" ht="30" customHeight="1">
      <c r="B2" s="1" t="inlineStr">
        <is>
          <t>Paramètres</t>
        </is>
      </c>
    </row>
    <row r="3" ht="20" customHeight="1">
      <c r="B3" s="2" t="inlineStr">
        <is>
          <t>Règles de calcul et semestres.</t>
        </is>
      </c>
      <c r="E3" s="15" t="inlineStr">
        <is>
          <t>Semestres</t>
        </is>
      </c>
    </row>
    <row r="4">
      <c r="B4" s="2" t="inlineStr">
        <is>
          <t>Note de réussite</t>
        </is>
      </c>
      <c r="C4" s="26" t="n">
        <v>4</v>
      </c>
      <c r="E4" s="27" t="inlineStr">
        <is>
          <t>S1 · automne 2025</t>
        </is>
      </c>
    </row>
    <row r="5">
      <c r="B5" s="2" t="inlineStr">
        <is>
          <t>Seuil de remédiation</t>
        </is>
      </c>
      <c r="C5" s="26" t="n">
        <v>3.5</v>
      </c>
      <c r="E5" s="27" t="inlineStr">
        <is>
          <t>S2 · printemps 2026</t>
        </is>
      </c>
    </row>
    <row r="6">
      <c r="B6" s="2" t="inlineStr">
        <is>
          <t>Arrondi des moyennes</t>
        </is>
      </c>
      <c r="C6" s="28" t="n">
        <v>0.1</v>
      </c>
      <c r="E6" s="27" t="inlineStr">
        <is>
          <t>S3 · automne 2026</t>
        </is>
      </c>
    </row>
    <row r="7">
      <c r="B7" s="2" t="inlineStr">
        <is>
          <t>Crédits ECTS visés</t>
        </is>
      </c>
      <c r="C7" s="29" t="n">
        <v>180</v>
      </c>
      <c r="E7" s="27" t="n"/>
    </row>
    <row r="8">
      <c r="B8" s="2" t="inlineStr">
        <is>
          <t>Note minimale</t>
        </is>
      </c>
      <c r="C8" s="26" t="n">
        <v>1</v>
      </c>
      <c r="E8" s="27" t="n"/>
    </row>
    <row r="9">
      <c r="B9" s="2" t="inlineStr">
        <is>
          <t>Note maximale</t>
        </is>
      </c>
      <c r="C9" s="26" t="n">
        <v>6</v>
      </c>
      <c r="E9" s="27" t="n"/>
    </row>
    <row r="10">
      <c r="E10" s="27" t="n"/>
    </row>
    <row r="11">
      <c r="B11" s="10" t="inlineStr">
        <is>
          <t>À vérifier dans le règlement d’études de votre filière.</t>
        </is>
      </c>
      <c r="E11" s="27" t="n"/>
    </row>
    <row r="12">
      <c r="E12" s="27" t="n"/>
    </row>
    <row r="13">
      <c r="E13" s="27" t="n"/>
    </row>
  </sheetData>
  <dataValidations count="1">
    <dataValidation sqref="C6" showDropDown="0" showInputMessage="1" showErrorMessage="0" allowBlank="1" promptTitle="Arrondi" prompt="0,1 = au dixième ; 0,5 = au demi-point." type="list">
      <formula1>"0.01,0.1,0.25,0.5"</formula1>
    </dataValidation>
  </dataValidations>
  <printOptions horizontalCentered="0"/>
  <pageMargins left="0.6" right="0.6" top="0.7" bottom="0.7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2026-10-12T22:10:47Z</dcterms:created>
  <dcterms:modified xmlns:dcterms="http://purl.org/dc/terms/" xmlns:xsi="http://www.w3.org/2001/XMLSchema-instance" xsi:type="dcterms:W3CDTF">2026-10-12T22:10:47Z</dcterms:modified>
</cp:coreProperties>
</file>