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Dépenses" sheetId="3" state="visible" r:id="rId3"/>
    <sheet xmlns:r="http://schemas.openxmlformats.org/officeDocument/2006/relationships" name="Partage" sheetId="4" state="visible" r:id="rId4"/>
    <sheet xmlns:r="http://schemas.openxmlformats.org/officeDocument/2006/relationships" name="Paramètres" sheetId="5" state="visible" r:id="rId5"/>
  </sheets>
  <definedNames>
    <definedName name="lstMembers">'Paramètres'!$B$6:$B$13</definedName>
    <definedName name="lstCategories">'Budget'!$B$6:$B$13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0;-#,##0.00;&quot;–&quot;"/>
    <numFmt numFmtId="166" formatCode="yyyy-mm-dd"/>
    <numFmt numFmtId="167" formatCode="dd.mm.yyyy"/>
  </numFmts>
  <fonts count="7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  <font>
      <name val="Helvetica"/>
      <family val="2"/>
      <color rgb="FF6C6C70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5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AEAEB2"/>
      </bottom>
    </border>
    <border>
      <bottom style="thin">
        <color rgb="FFC6C6C8"/>
      </bottom>
    </border>
    <border>
      <top style="thin">
        <color rgb="FF1D1D1F"/>
      </top>
      <bottom style="thin">
        <color rgb="FFC6C6C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4" fillId="0" borderId="2" applyAlignment="1" pivotButton="0" quotePrefix="0" xfId="0">
      <alignment horizontal="left" vertical="bottom" wrapText="1"/>
    </xf>
    <xf numFmtId="0" fontId="4" fillId="0" borderId="2" applyAlignment="1" pivotButton="0" quotePrefix="0" xfId="0">
      <alignment horizontal="right" vertical="bottom" wrapText="1"/>
    </xf>
    <xf numFmtId="0" fontId="0" fillId="2" borderId="3" pivotButton="0" quotePrefix="0" xfId="0"/>
    <xf numFmtId="165" fontId="0" fillId="2" borderId="3" applyAlignment="1" pivotButton="0" quotePrefix="0" xfId="0">
      <alignment horizontal="right"/>
    </xf>
    <xf numFmtId="165" fontId="0" fillId="3" borderId="3" applyAlignment="1" pivotButton="0" quotePrefix="0" xfId="0">
      <alignment horizontal="right"/>
    </xf>
    <xf numFmtId="9" fontId="0" fillId="3" borderId="3" applyAlignment="1" pivotButton="0" quotePrefix="0" xfId="0">
      <alignment horizontal="right"/>
    </xf>
    <xf numFmtId="0" fontId="4" fillId="0" borderId="4" pivotButton="0" quotePrefix="0" xfId="0"/>
    <xf numFmtId="165" fontId="4" fillId="3" borderId="4" applyAlignment="1" pivotButton="0" quotePrefix="0" xfId="0">
      <alignment horizontal="right"/>
    </xf>
    <xf numFmtId="9" fontId="4" fillId="3" borderId="4" applyAlignment="1" pivotButton="0" quotePrefix="0" xfId="0">
      <alignment horizontal="right"/>
    </xf>
    <xf numFmtId="0" fontId="6" fillId="0" borderId="3" pivotButton="0" quotePrefix="0" xfId="0"/>
    <xf numFmtId="165" fontId="4" fillId="3" borderId="3" applyAlignment="1" pivotButton="0" quotePrefix="0" xfId="0">
      <alignment horizontal="right"/>
    </xf>
    <xf numFmtId="167" fontId="0" fillId="0" borderId="3" pivotButton="0" quotePrefix="0" xfId="0"/>
    <xf numFmtId="0" fontId="0" fillId="0" borderId="3" pivotButton="0" quotePrefix="0" xfId="0"/>
    <xf numFmtId="165" fontId="0" fillId="0" borderId="3" applyAlignment="1" pivotButton="0" quotePrefix="0" xfId="0">
      <alignment horizontal="right"/>
    </xf>
    <xf numFmtId="164" fontId="0" fillId="3" borderId="3" applyAlignment="1" pivotButton="0" quotePrefix="0" xfId="0">
      <alignment horizontal="right"/>
    </xf>
    <xf numFmtId="0" fontId="0" fillId="3" borderId="3" pivotButton="0" quotePrefix="0" xfId="0"/>
    <xf numFmtId="164" fontId="0" fillId="2" borderId="3" applyAlignment="1" pivotButton="0" quotePrefix="0" xfId="0">
      <alignment horizontal="right"/>
    </xf>
  </cellXfs>
  <cellStyles count="1">
    <cellStyle name="Normal" xfId="0" builtinId="0" hidden="0"/>
  </cellStyles>
  <dxfs count="6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  <dxf>
      <font>
        <b val="1"/>
        <color rgb="FFC8001C"/>
      </font>
    </dxf>
    <dxf>
      <font>
        <b val="1"/>
        <color rgb="FF00792C"/>
      </font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Prévu et dépensé par catégorie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'Budget'!C5</f>
            </strRef>
          </tx>
          <spPr>
            <a:solidFill xmlns:a="http://schemas.openxmlformats.org/drawingml/2006/main">
              <a:srgbClr val="AEAEB2"/>
            </a:solidFill>
            <a:ln xmlns:a="http://schemas.openxmlformats.org/drawingml/2006/main">
              <a:noFill/>
              <a:prstDash val="solid"/>
            </a:ln>
          </spPr>
          <cat>
            <numRef>
              <f>'Budget'!$B$6:$B$10</f>
            </numRef>
          </cat>
          <val>
            <numRef>
              <f>'Budget'!$C$6:$C$10</f>
            </numRef>
          </val>
        </ser>
        <ser>
          <idx val="1"/>
          <order val="1"/>
          <tx>
            <strRef>
              <f>'Budget'!D5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'Budget'!$B$6:$B$10</f>
            </numRef>
          </cat>
          <val>
            <numRef>
              <f>'Budget'!$D$6:$D$10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legend>
      <legendPos val="t"/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Depenses" displayName="tDepenses" ref="A1:G6" headerRowCount="1">
  <tableColumns count="7">
    <tableColumn id="1" name="Date"/>
    <tableColumn id="2" name="Libellé"/>
    <tableColumn id="3" name="Catégorie"/>
    <tableColumn id="4" name="Montant CHF"/>
    <tableColumn id="5" name="Payé par"/>
    <tableColumn id="6" name="Justificatif"/>
    <tableColumn id="7" name="Remarque"/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Crépuscule">
  <a:themeElements>
    <a:clrScheme name="Halo Crépuscule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3A1D6E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3A1D6E"/>
      </a:hlink>
      <a:folHlink>
        <a:srgbClr val="5747E7"/>
      </a:folHlink>
    </a:clrScheme>
    <a:fontScheme name="Halo Crépuscule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Crépuscule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Budget de projet</t>
        </is>
      </c>
    </row>
    <row r="3" ht="18" customHeight="1">
      <c r="B3" s="2" t="inlineStr">
        <is>
          <t>Budget prévu par catégorie, dépenses réelles, financement et partage des frais entre les membres.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Budget », fixez le montant prévu de chaque catégorie et les sources de financement (cellules teintées).</t>
        </is>
      </c>
    </row>
    <row r="7" ht="16" customHeight="1">
      <c r="B7" s="4" t="inlineStr">
        <is>
          <t>2.</t>
        </is>
      </c>
      <c r="C7" s="5" t="inlineStr">
        <is>
          <t>Dans « Paramètres », listez les membres et leur part (1 = part égale, 2 = double part…).</t>
        </is>
      </c>
    </row>
    <row r="8" ht="16" customHeight="1">
      <c r="B8" s="4" t="inlineStr">
        <is>
          <t>3.</t>
        </is>
      </c>
      <c r="C8" s="5" t="inlineStr">
        <is>
          <t>Dans « Dépenses », une ligne par dépense : date, libellé, catégorie, montant, payé par.</t>
        </is>
      </c>
    </row>
    <row r="9" ht="16" customHeight="1">
      <c r="B9" s="4" t="inlineStr">
        <is>
          <t>4.</t>
        </is>
      </c>
      <c r="C9" s="5" t="inlineStr">
        <is>
          <t>« Budget » montre le reste par catégorie ; « Partage » qui doit recevoir et qui doit payer.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6" ht="22" customHeight="1">
      <c r="B16" s="3" t="inlineStr">
        <is>
          <t>Bon à savoir</t>
        </is>
      </c>
    </row>
    <row r="17" ht="16" customHeight="1">
      <c r="B17" s="4" t="inlineStr">
        <is>
          <t>·</t>
        </is>
      </c>
      <c r="C17" s="5" t="inlineStr">
        <is>
          <t>Montants en francs suisses (CHF). Les lignes livrées sont des exemples.</t>
        </is>
      </c>
    </row>
    <row r="18" ht="16" customHeight="1">
      <c r="B18" s="4" t="inlineStr">
        <is>
          <t>·</t>
        </is>
      </c>
      <c r="C18" s="5" t="inlineStr">
        <is>
          <t>Solde positif : le membre a avancé plus que sa part et doit être remboursé.</t>
        </is>
      </c>
    </row>
    <row r="20">
      <c r="B20" s="9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28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14" customWidth="1" min="5" max="5"/>
    <col width="12" customWidth="1" min="6" max="6"/>
    <col width="4" customWidth="1" min="7" max="7"/>
  </cols>
  <sheetData>
    <row r="2" ht="30" customHeight="1">
      <c r="B2" s="1" t="inlineStr">
        <is>
          <t>Budget de projet</t>
        </is>
      </c>
    </row>
    <row r="3" ht="18" customHeight="1">
      <c r="B3" s="2" t="inlineStr">
        <is>
          <t>Montants en CHF.</t>
        </is>
      </c>
    </row>
    <row r="5" ht="20" customHeight="1">
      <c r="B5" s="10" t="inlineStr">
        <is>
          <t>Catégorie</t>
        </is>
      </c>
      <c r="C5" s="11" t="inlineStr">
        <is>
          <t>Prévu</t>
        </is>
      </c>
      <c r="D5" s="11" t="inlineStr">
        <is>
          <t>Dépensé</t>
        </is>
      </c>
      <c r="E5" s="11" t="inlineStr">
        <is>
          <t>Reste</t>
        </is>
      </c>
      <c r="F5" s="11" t="inlineStr">
        <is>
          <t>Utilisé</t>
        </is>
      </c>
    </row>
    <row r="6">
      <c r="B6" s="12" t="inlineStr">
        <is>
          <t>Matériel</t>
        </is>
      </c>
      <c r="C6" s="13" t="n">
        <v>800</v>
      </c>
      <c r="D6" s="14">
        <f>IF(B6="","",SUMIFS(tDepenses[Montant CHF],tDepenses[Catégorie],B6))</f>
        <v/>
      </c>
      <c r="E6" s="14">
        <f>IF(B6="","",N(C6)-D6)</f>
        <v/>
      </c>
      <c r="F6" s="15">
        <f>IF(OR(B6="",N(C6)=0),"",D6/C6)</f>
        <v/>
      </c>
    </row>
    <row r="7">
      <c r="B7" s="12" t="inlineStr">
        <is>
          <t>Logiciels</t>
        </is>
      </c>
      <c r="C7" s="13" t="n">
        <v>300</v>
      </c>
      <c r="D7" s="14">
        <f>IF(B7="","",SUMIFS(tDepenses[Montant CHF],tDepenses[Catégorie],B7))</f>
        <v/>
      </c>
      <c r="E7" s="14">
        <f>IF(B7="","",N(C7)-D7)</f>
        <v/>
      </c>
      <c r="F7" s="15">
        <f>IF(OR(B7="",N(C7)=0),"",D7/C7)</f>
        <v/>
      </c>
    </row>
    <row r="8">
      <c r="B8" s="12" t="inlineStr">
        <is>
          <t>Déplacements</t>
        </is>
      </c>
      <c r="C8" s="13" t="n">
        <v>400</v>
      </c>
      <c r="D8" s="14">
        <f>IF(B8="","",SUMIFS(tDepenses[Montant CHF],tDepenses[Catégorie],B8))</f>
        <v/>
      </c>
      <c r="E8" s="14">
        <f>IF(B8="","",N(C8)-D8)</f>
        <v/>
      </c>
      <c r="F8" s="15">
        <f>IF(OR(B8="",N(C8)=0),"",D8/C8)</f>
        <v/>
      </c>
    </row>
    <row r="9">
      <c r="B9" s="12" t="inlineStr">
        <is>
          <t>Communication</t>
        </is>
      </c>
      <c r="C9" s="13" t="n">
        <v>250</v>
      </c>
      <c r="D9" s="14">
        <f>IF(B9="","",SUMIFS(tDepenses[Montant CHF],tDepenses[Catégorie],B9))</f>
        <v/>
      </c>
      <c r="E9" s="14">
        <f>IF(B9="","",N(C9)-D9)</f>
        <v/>
      </c>
      <c r="F9" s="15">
        <f>IF(OR(B9="",N(C9)=0),"",D9/C9)</f>
        <v/>
      </c>
    </row>
    <row r="10">
      <c r="B10" s="12" t="inlineStr">
        <is>
          <t>Imprévus</t>
        </is>
      </c>
      <c r="C10" s="13" t="n">
        <v>250</v>
      </c>
      <c r="D10" s="14">
        <f>IF(B10="","",SUMIFS(tDepenses[Montant CHF],tDepenses[Catégorie],B10))</f>
        <v/>
      </c>
      <c r="E10" s="14">
        <f>IF(B10="","",N(C10)-D10)</f>
        <v/>
      </c>
      <c r="F10" s="15">
        <f>IF(OR(B10="",N(C10)=0),"",D10/C10)</f>
        <v/>
      </c>
    </row>
    <row r="11">
      <c r="B11" s="12" t="n"/>
      <c r="C11" s="13" t="n"/>
      <c r="D11" s="14">
        <f>IF(B11="","",SUMIFS(tDepenses[Montant CHF],tDepenses[Catégorie],B11))</f>
        <v/>
      </c>
      <c r="E11" s="14">
        <f>IF(B11="","",N(C11)-D11)</f>
        <v/>
      </c>
      <c r="F11" s="15">
        <f>IF(OR(B11="",N(C11)=0),"",D11/C11)</f>
        <v/>
      </c>
    </row>
    <row r="12">
      <c r="B12" s="12" t="n"/>
      <c r="C12" s="13" t="n"/>
      <c r="D12" s="14">
        <f>IF(B12="","",SUMIFS(tDepenses[Montant CHF],tDepenses[Catégorie],B12))</f>
        <v/>
      </c>
      <c r="E12" s="14">
        <f>IF(B12="","",N(C12)-D12)</f>
        <v/>
      </c>
      <c r="F12" s="15">
        <f>IF(OR(B12="",N(C12)=0),"",D12/C12)</f>
        <v/>
      </c>
    </row>
    <row r="13">
      <c r="B13" s="12" t="n"/>
      <c r="C13" s="13" t="n"/>
      <c r="D13" s="14">
        <f>IF(B13="","",SUMIFS(tDepenses[Montant CHF],tDepenses[Catégorie],B13))</f>
        <v/>
      </c>
      <c r="E13" s="14">
        <f>IF(B13="","",N(C13)-D13)</f>
        <v/>
      </c>
      <c r="F13" s="15">
        <f>IF(OR(B13="",N(C13)=0),"",D13/C13)</f>
        <v/>
      </c>
    </row>
    <row r="14">
      <c r="B14" s="16" t="inlineStr">
        <is>
          <t>Total</t>
        </is>
      </c>
      <c r="C14" s="17">
        <f>SUM(C6:C13)</f>
        <v/>
      </c>
      <c r="D14" s="17">
        <f>SUM(D6:D13)</f>
        <v/>
      </c>
      <c r="E14" s="17">
        <f>C14-D14</f>
        <v/>
      </c>
      <c r="F14" s="18">
        <f>IF(C14=0,"",D14/C14)</f>
        <v/>
      </c>
    </row>
    <row r="15">
      <c r="B15" s="19" t="inlineStr">
        <is>
          <t>Hors catégorie</t>
        </is>
      </c>
      <c r="D15" s="14">
        <f>SUM(tDepenses[Montant CHF])-D14</f>
        <v/>
      </c>
    </row>
    <row r="17" ht="22" customHeight="1">
      <c r="B17" s="3" t="inlineStr">
        <is>
          <t>Financement</t>
        </is>
      </c>
    </row>
    <row r="18" ht="20" customHeight="1">
      <c r="B18" s="10" t="inlineStr">
        <is>
          <t>Source</t>
        </is>
      </c>
      <c r="C18" s="11" t="inlineStr">
        <is>
          <t>Prévu</t>
        </is>
      </c>
      <c r="D18" s="11" t="inlineStr">
        <is>
          <t>Reçu</t>
        </is>
      </c>
    </row>
    <row r="19">
      <c r="B19" s="12" t="inlineStr">
        <is>
          <t>Contribution des membres</t>
        </is>
      </c>
      <c r="C19" s="13" t="n">
        <v>600</v>
      </c>
      <c r="D19" s="13" t="n">
        <v>600</v>
      </c>
    </row>
    <row r="20">
      <c r="B20" s="12" t="inlineStr">
        <is>
          <t>Subvention [organisme]</t>
        </is>
      </c>
      <c r="C20" s="13" t="n">
        <v>1000</v>
      </c>
      <c r="D20" s="13" t="n">
        <v>0</v>
      </c>
    </row>
    <row r="21">
      <c r="B21" s="12" t="inlineStr">
        <is>
          <t>Sponsor [entreprise]</t>
        </is>
      </c>
      <c r="C21" s="13" t="n">
        <v>400</v>
      </c>
      <c r="D21" s="13" t="n">
        <v>400</v>
      </c>
    </row>
    <row r="22">
      <c r="B22" s="12" t="n"/>
      <c r="C22" s="13" t="n"/>
      <c r="D22" s="13" t="n"/>
    </row>
    <row r="23">
      <c r="B23" s="12" t="n"/>
      <c r="C23" s="13" t="n"/>
      <c r="D23" s="13" t="n"/>
    </row>
    <row r="24">
      <c r="B24" s="16" t="inlineStr">
        <is>
          <t>Total</t>
        </is>
      </c>
      <c r="C24" s="17">
        <f>SUM(C19:C23)</f>
        <v/>
      </c>
      <c r="D24" s="17">
        <f>SUM(D19:D23)</f>
        <v/>
      </c>
    </row>
    <row r="26" ht="22" customHeight="1">
      <c r="B26" s="3" t="inlineStr">
        <is>
          <t>Solde</t>
        </is>
      </c>
    </row>
    <row r="27">
      <c r="B27" s="2" t="inlineStr">
        <is>
          <t>Financement reçu − dépenses</t>
        </is>
      </c>
      <c r="C27" s="20">
        <f>D24-SUM(tDepenses[Montant CHF])</f>
        <v/>
      </c>
    </row>
    <row r="28">
      <c r="B28" s="2" t="inlineStr">
        <is>
          <t>Financement prévu − budget prévu</t>
        </is>
      </c>
      <c r="C28" s="14">
        <f>C24-C14</f>
        <v/>
      </c>
    </row>
  </sheetData>
  <conditionalFormatting sqref="F6:F14">
    <cfRule type="dataBar" priority="1">
      <dataBar showValue="1">
        <cfvo type="num" val="0"/>
        <cfvo type="num" val="1"/>
        <color theme="4"/>
      </dataBar>
    </cfRule>
  </conditionalFormatting>
  <conditionalFormatting sqref="E6:E14">
    <cfRule type="cellIs" priority="2" operator="lessThan" dxfId="4">
      <formula>0</formula>
    </cfRule>
  </conditionalFormatting>
  <conditionalFormatting sqref="C27:C28">
    <cfRule type="cellIs" priority="3" operator="lessThan" dxfId="4">
      <formula>0</formula>
    </cfRule>
  </conditionalFormatting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8" customWidth="1" min="3" max="3"/>
    <col width="14" customWidth="1" min="4" max="4"/>
    <col width="14" customWidth="1" min="5" max="5"/>
    <col width="13" customWidth="1" min="6" max="6"/>
    <col width="30" customWidth="1" min="7" max="7"/>
  </cols>
  <sheetData>
    <row r="1" ht="20" customHeight="1">
      <c r="A1" s="10" t="inlineStr">
        <is>
          <t>Date</t>
        </is>
      </c>
      <c r="B1" s="10" t="inlineStr">
        <is>
          <t>Libellé</t>
        </is>
      </c>
      <c r="C1" s="10" t="inlineStr">
        <is>
          <t>Catégorie</t>
        </is>
      </c>
      <c r="D1" s="11" t="inlineStr">
        <is>
          <t>Montant CHF</t>
        </is>
      </c>
      <c r="E1" s="10" t="inlineStr">
        <is>
          <t>Payé par</t>
        </is>
      </c>
      <c r="F1" s="10" t="inlineStr">
        <is>
          <t>Justificatif</t>
        </is>
      </c>
      <c r="G1" s="10" t="inlineStr">
        <is>
          <t>Remarque</t>
        </is>
      </c>
    </row>
    <row r="2">
      <c r="A2" s="21" t="n">
        <v>46283</v>
      </c>
      <c r="B2" s="22" t="inlineStr">
        <is>
          <t>Licence logiciel de maquettage</t>
        </is>
      </c>
      <c r="C2" s="22" t="inlineStr">
        <is>
          <t>Logiciels</t>
        </is>
      </c>
      <c r="D2" s="23" t="n">
        <v>144</v>
      </c>
      <c r="E2" s="22" t="inlineStr">
        <is>
          <t>Sam</t>
        </is>
      </c>
      <c r="F2" s="22" t="inlineStr">
        <is>
          <t>Oui</t>
        </is>
      </c>
      <c r="G2" s="22" t="n"/>
    </row>
    <row r="3">
      <c r="A3" s="21" t="n">
        <v>46290</v>
      </c>
      <c r="B3" s="22" t="inlineStr">
        <is>
          <t>Billets de train, visite du mandant</t>
        </is>
      </c>
      <c r="C3" s="22" t="inlineStr">
        <is>
          <t>Déplacements</t>
        </is>
      </c>
      <c r="D3" s="23" t="n">
        <v>87.59999999999999</v>
      </c>
      <c r="E3" s="22" t="inlineStr">
        <is>
          <t>Alex</t>
        </is>
      </c>
      <c r="F3" s="22" t="inlineStr">
        <is>
          <t>Oui</t>
        </is>
      </c>
      <c r="G3" s="22" t="n"/>
    </row>
    <row r="4">
      <c r="A4" s="21" t="n">
        <v>46297</v>
      </c>
      <c r="B4" s="22" t="inlineStr">
        <is>
          <t>Capteurs et câbles</t>
        </is>
      </c>
      <c r="C4" s="22" t="inlineStr">
        <is>
          <t>Matériel</t>
        </is>
      </c>
      <c r="D4" s="23" t="n">
        <v>236.4</v>
      </c>
      <c r="E4" s="22" t="inlineStr">
        <is>
          <t>Noa</t>
        </is>
      </c>
      <c r="F4" s="22" t="inlineStr">
        <is>
          <t>Oui</t>
        </is>
      </c>
      <c r="G4" s="22" t="n"/>
    </row>
    <row r="5">
      <c r="A5" s="21" t="n">
        <v>46301</v>
      </c>
      <c r="B5" s="22" t="inlineStr">
        <is>
          <t>Impression des affiches</t>
        </is>
      </c>
      <c r="C5" s="22" t="inlineStr">
        <is>
          <t>Communication</t>
        </is>
      </c>
      <c r="D5" s="23" t="n">
        <v>95</v>
      </c>
      <c r="E5" s="22" t="inlineStr">
        <is>
          <t>Alex</t>
        </is>
      </c>
      <c r="F5" s="22" t="inlineStr">
        <is>
          <t>Non</t>
        </is>
      </c>
      <c r="G5" s="22" t="n"/>
    </row>
    <row r="6">
      <c r="A6" s="21" t="n">
        <v>46304</v>
      </c>
      <c r="B6" s="22" t="inlineStr">
        <is>
          <t>Repas de l’équipe, atelier</t>
        </is>
      </c>
      <c r="C6" s="22" t="inlineStr">
        <is>
          <t>Imprévus</t>
        </is>
      </c>
      <c r="D6" s="23" t="n">
        <v>64.5</v>
      </c>
      <c r="E6" s="22" t="inlineStr">
        <is>
          <t>Sam</t>
        </is>
      </c>
      <c r="F6" s="22" t="inlineStr">
        <is>
          <t>Oui</t>
        </is>
      </c>
      <c r="G6" s="22" t="n"/>
    </row>
  </sheetData>
  <dataValidations count="5">
    <dataValidation sqref="C2:C3000" showDropDown="0" showInputMessage="1" showErrorMessage="0" allowBlank="1" promptTitle="Catégorie" prompt="Catégories du budget." type="list">
      <formula1>=lstCategories</formula1>
    </dataValidation>
    <dataValidation sqref="E2:E3000" showDropDown="0" showInputMessage="1" showErrorMessage="0" allowBlank="1" promptTitle="Payé par" prompt="Membres listés dans « Paramètres »." type="list">
      <formula1>=lstMembers</formula1>
    </dataValidation>
    <dataValidation sqref="F2:F3000" showDropDown="0" showInputMessage="0" showErrorMessage="0" allowBlank="1" type="list">
      <formula1>"Oui,Non"</formula1>
    </dataValidation>
    <dataValidation sqref="D2:D3000" showDropDown="0" showInputMessage="0" showErrorMessage="1" allowBlank="1" errorTitle="Montant" error="Montant en CHF." type="decimal" operator="between">
      <formula1>-100000</formula1>
      <formula2>1000000</formula2>
    </dataValidation>
    <dataValidation sqref="A2:A3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F17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2" ht="30" customHeight="1">
      <c r="B2" s="1" t="inlineStr">
        <is>
          <t>Partage des frais</t>
        </is>
      </c>
    </row>
    <row r="3" ht="18" customHeight="1">
      <c r="B3" s="2" t="inlineStr">
        <is>
          <t>Chaque dépense est partagée selon les parts des membres.</t>
        </is>
      </c>
    </row>
    <row r="4">
      <c r="B4" s="2" t="inlineStr">
        <is>
          <t>Total des dépenses</t>
        </is>
      </c>
      <c r="C4" s="20">
        <f>SUM(tDepenses[Montant CHF])</f>
        <v/>
      </c>
    </row>
    <row r="5">
      <c r="B5" s="2" t="inlineStr">
        <is>
          <t>Somme des parts</t>
        </is>
      </c>
      <c r="C5" s="24">
        <f>SUMIFS('Paramètres'!$C$6:$C$13,'Paramètres'!$B$6:$B$13,"&lt;&gt;")</f>
        <v/>
      </c>
    </row>
    <row r="7" ht="20" customHeight="1">
      <c r="B7" s="10" t="inlineStr">
        <is>
          <t>Membre</t>
        </is>
      </c>
      <c r="C7" s="11" t="inlineStr">
        <is>
          <t>A payé</t>
        </is>
      </c>
      <c r="D7" s="11" t="inlineStr">
        <is>
          <t>Sa part</t>
        </is>
      </c>
      <c r="E7" s="11" t="inlineStr">
        <is>
          <t>Solde</t>
        </is>
      </c>
      <c r="F7" s="10" t="inlineStr">
        <is>
          <t>À faire</t>
        </is>
      </c>
    </row>
    <row r="8">
      <c r="B8" s="25">
        <f>IF('Paramètres'!$B$6="","",'Paramètres'!$B$6)</f>
        <v/>
      </c>
      <c r="C8" s="14">
        <f>IF(B8="","",SUMIFS(tDepenses[Montant CHF],tDepenses[Payé par],B8))</f>
        <v/>
      </c>
      <c r="D8" s="14">
        <f>IF(OR(B8="",$C$5=0),"",$C$4*N('Paramètres'!$C$6)/$C$5)</f>
        <v/>
      </c>
      <c r="E8" s="20">
        <f>IF(B8="","",C8-D8)</f>
        <v/>
      </c>
      <c r="F8" s="25">
        <f>IF(B8="","",IF(ROUND(E8,2)&gt;0,"reçoit ce montant",IF(ROUND(E8,2)&lt;0,"paie ce montant","quitte")))</f>
        <v/>
      </c>
    </row>
    <row r="9">
      <c r="B9" s="25">
        <f>IF('Paramètres'!$B$7="","",'Paramètres'!$B$7)</f>
        <v/>
      </c>
      <c r="C9" s="14">
        <f>IF(B9="","",SUMIFS(tDepenses[Montant CHF],tDepenses[Payé par],B9))</f>
        <v/>
      </c>
      <c r="D9" s="14">
        <f>IF(OR(B9="",$C$5=0),"",$C$4*N('Paramètres'!$C$7)/$C$5)</f>
        <v/>
      </c>
      <c r="E9" s="20">
        <f>IF(B9="","",C9-D9)</f>
        <v/>
      </c>
      <c r="F9" s="25">
        <f>IF(B9="","",IF(ROUND(E9,2)&gt;0,"reçoit ce montant",IF(ROUND(E9,2)&lt;0,"paie ce montant","quitte")))</f>
        <v/>
      </c>
    </row>
    <row r="10">
      <c r="B10" s="25">
        <f>IF('Paramètres'!$B$8="","",'Paramètres'!$B$8)</f>
        <v/>
      </c>
      <c r="C10" s="14">
        <f>IF(B10="","",SUMIFS(tDepenses[Montant CHF],tDepenses[Payé par],B10))</f>
        <v/>
      </c>
      <c r="D10" s="14">
        <f>IF(OR(B10="",$C$5=0),"",$C$4*N('Paramètres'!$C$8)/$C$5)</f>
        <v/>
      </c>
      <c r="E10" s="20">
        <f>IF(B10="","",C10-D10)</f>
        <v/>
      </c>
      <c r="F10" s="25">
        <f>IF(B10="","",IF(ROUND(E10,2)&gt;0,"reçoit ce montant",IF(ROUND(E10,2)&lt;0,"paie ce montant","quitte")))</f>
        <v/>
      </c>
    </row>
    <row r="11">
      <c r="B11" s="25">
        <f>IF('Paramètres'!$B$9="","",'Paramètres'!$B$9)</f>
        <v/>
      </c>
      <c r="C11" s="14">
        <f>IF(B11="","",SUMIFS(tDepenses[Montant CHF],tDepenses[Payé par],B11))</f>
        <v/>
      </c>
      <c r="D11" s="14">
        <f>IF(OR(B11="",$C$5=0),"",$C$4*N('Paramètres'!$C$9)/$C$5)</f>
        <v/>
      </c>
      <c r="E11" s="20">
        <f>IF(B11="","",C11-D11)</f>
        <v/>
      </c>
      <c r="F11" s="25">
        <f>IF(B11="","",IF(ROUND(E11,2)&gt;0,"reçoit ce montant",IF(ROUND(E11,2)&lt;0,"paie ce montant","quitte")))</f>
        <v/>
      </c>
    </row>
    <row r="12">
      <c r="B12" s="25">
        <f>IF('Paramètres'!$B$10="","",'Paramètres'!$B$10)</f>
        <v/>
      </c>
      <c r="C12" s="14">
        <f>IF(B12="","",SUMIFS(tDepenses[Montant CHF],tDepenses[Payé par],B12))</f>
        <v/>
      </c>
      <c r="D12" s="14">
        <f>IF(OR(B12="",$C$5=0),"",$C$4*N('Paramètres'!$C$10)/$C$5)</f>
        <v/>
      </c>
      <c r="E12" s="20">
        <f>IF(B12="","",C12-D12)</f>
        <v/>
      </c>
      <c r="F12" s="25">
        <f>IF(B12="","",IF(ROUND(E12,2)&gt;0,"reçoit ce montant",IF(ROUND(E12,2)&lt;0,"paie ce montant","quitte")))</f>
        <v/>
      </c>
    </row>
    <row r="13">
      <c r="B13" s="25">
        <f>IF('Paramètres'!$B$11="","",'Paramètres'!$B$11)</f>
        <v/>
      </c>
      <c r="C13" s="14">
        <f>IF(B13="","",SUMIFS(tDepenses[Montant CHF],tDepenses[Payé par],B13))</f>
        <v/>
      </c>
      <c r="D13" s="14">
        <f>IF(OR(B13="",$C$5=0),"",$C$4*N('Paramètres'!$C$11)/$C$5)</f>
        <v/>
      </c>
      <c r="E13" s="20">
        <f>IF(B13="","",C13-D13)</f>
        <v/>
      </c>
      <c r="F13" s="25">
        <f>IF(B13="","",IF(ROUND(E13,2)&gt;0,"reçoit ce montant",IF(ROUND(E13,2)&lt;0,"paie ce montant","quitte")))</f>
        <v/>
      </c>
    </row>
    <row r="14">
      <c r="B14" s="25">
        <f>IF('Paramètres'!$B$12="","",'Paramètres'!$B$12)</f>
        <v/>
      </c>
      <c r="C14" s="14">
        <f>IF(B14="","",SUMIFS(tDepenses[Montant CHF],tDepenses[Payé par],B14))</f>
        <v/>
      </c>
      <c r="D14" s="14">
        <f>IF(OR(B14="",$C$5=0),"",$C$4*N('Paramètres'!$C$12)/$C$5)</f>
        <v/>
      </c>
      <c r="E14" s="20">
        <f>IF(B14="","",C14-D14)</f>
        <v/>
      </c>
      <c r="F14" s="25">
        <f>IF(B14="","",IF(ROUND(E14,2)&gt;0,"reçoit ce montant",IF(ROUND(E14,2)&lt;0,"paie ce montant","quitte")))</f>
        <v/>
      </c>
    </row>
    <row r="15">
      <c r="B15" s="25">
        <f>IF('Paramètres'!$B$13="","",'Paramètres'!$B$13)</f>
        <v/>
      </c>
      <c r="C15" s="14">
        <f>IF(B15="","",SUMIFS(tDepenses[Montant CHF],tDepenses[Payé par],B15))</f>
        <v/>
      </c>
      <c r="D15" s="14">
        <f>IF(OR(B15="",$C$5=0),"",$C$4*N('Paramètres'!$C$13)/$C$5)</f>
        <v/>
      </c>
      <c r="E15" s="20">
        <f>IF(B15="","",C15-D15)</f>
        <v/>
      </c>
      <c r="F15" s="25">
        <f>IF(B15="","",IF(ROUND(E15,2)&gt;0,"reçoit ce montant",IF(ROUND(E15,2)&lt;0,"paie ce montant","quitte")))</f>
        <v/>
      </c>
    </row>
    <row r="17">
      <c r="B17" s="9" t="inlineStr">
        <is>
          <t>Le total des soldes vaut zéro : ce que les uns reçoivent, les autres le paient.</t>
        </is>
      </c>
    </row>
  </sheetData>
  <conditionalFormatting sqref="E8:E15">
    <cfRule type="cellIs" priority="1" operator="lessThan" dxfId="4">
      <formula>-0.005</formula>
    </cfRule>
    <cfRule type="cellIs" priority="2" operator="greaterThan" dxfId="5">
      <formula>0.005</formula>
    </cfRule>
  </conditionalFormatting>
  <printOptions horizontalCentered="0"/>
  <pageMargins left="0.6" right="0.6" top="0.7" bottom="0.7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C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</cols>
  <sheetData>
    <row r="2" ht="30" customHeight="1">
      <c r="B2" s="1" t="inlineStr">
        <is>
          <t>Paramètres</t>
        </is>
      </c>
    </row>
    <row r="3" ht="18" customHeight="1">
      <c r="B3" s="2" t="inlineStr">
        <is>
          <t>Membres et parts pour le partage des frais.</t>
        </is>
      </c>
    </row>
    <row r="5" ht="20" customHeight="1">
      <c r="B5" s="10" t="inlineStr">
        <is>
          <t>Membre</t>
        </is>
      </c>
      <c r="C5" s="11" t="inlineStr">
        <is>
          <t>Part</t>
        </is>
      </c>
    </row>
    <row r="6">
      <c r="B6" s="12" t="inlineStr">
        <is>
          <t>Alex</t>
        </is>
      </c>
      <c r="C6" s="26" t="n">
        <v>1</v>
      </c>
    </row>
    <row r="7">
      <c r="B7" s="12" t="inlineStr">
        <is>
          <t>Sam</t>
        </is>
      </c>
      <c r="C7" s="26" t="n">
        <v>1</v>
      </c>
    </row>
    <row r="8">
      <c r="B8" s="12" t="inlineStr">
        <is>
          <t>Noa</t>
        </is>
      </c>
      <c r="C8" s="26" t="n">
        <v>1</v>
      </c>
    </row>
    <row r="9">
      <c r="B9" s="12" t="n"/>
      <c r="C9" s="26" t="n"/>
    </row>
    <row r="10">
      <c r="B10" s="12" t="n"/>
      <c r="C10" s="26" t="n"/>
    </row>
    <row r="11">
      <c r="B11" s="12" t="n"/>
      <c r="C11" s="26" t="n"/>
    </row>
    <row r="12">
      <c r="B12" s="12" t="n"/>
      <c r="C12" s="26" t="n"/>
    </row>
    <row r="13">
      <c r="B13" s="12" t="n"/>
      <c r="C13" s="26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2026-10-12T22:08:29Z</dcterms:created>
  <dcterms:modified xmlns:dcterms="http://purl.org/dc/terms/" xmlns:xsi="http://www.w3.org/2001/XMLSchema-instance" xsi:type="dcterms:W3CDTF">2026-10-12T22:08:30Z</dcterms:modified>
</cp:coreProperties>
</file>