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Données" sheetId="2" state="visible" r:id="rId2"/>
    <sheet xmlns:r="http://schemas.openxmlformats.org/officeDocument/2006/relationships" name="Analyse" sheetId="3" state="visible" r:id="rId3"/>
    <sheet xmlns:r="http://schemas.openxmlformats.org/officeDocument/2006/relationships" name="Paramètres" sheetId="4" state="visible" r:id="rId4"/>
  </sheets>
  <definedNames>
    <definedName name="lstCategories">'Paramètres'!$B$6:$B$13</definedName>
    <definedName name="lstGroups">'Paramètres'!$D$6:$D$9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mmm yyyy"/>
    <numFmt numFmtId="167" formatCode="#,##0;-#,##0;&quot;–&quot;"/>
    <numFmt numFmtId="168" formatCode="mmmm yyyy"/>
  </numFmts>
  <fonts count="6">
    <font>
      <name val="Helvetica"/>
      <family val="2"/>
      <color theme="1"/>
      <sz val="10"/>
      <scheme val="minor"/>
    </font>
    <font>
      <name val="Helvetica"/>
      <family val="2"/>
      <b val="1"/>
      <color theme="1"/>
      <sz val="18"/>
      <scheme val="minor"/>
    </font>
    <font>
      <name val="Helvetica"/>
      <family val="2"/>
      <color theme="3"/>
      <sz val="10"/>
      <scheme val="minor"/>
    </font>
    <font>
      <name val="Helvetica"/>
      <family val="2"/>
      <b val="1"/>
      <color theme="1"/>
      <sz val="12"/>
      <scheme val="minor"/>
    </font>
    <font>
      <name val="Helvetica"/>
      <family val="2"/>
      <b val="1"/>
      <color theme="1"/>
      <sz val="10"/>
      <scheme val="minor"/>
    </font>
    <font>
      <name val="Helvetica"/>
      <family val="2"/>
      <color theme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4" tint="0.86"/>
        <bgColor theme="4" tint="0.86"/>
      </patternFill>
    </fill>
    <fill>
      <patternFill patternType="solid">
        <fgColor rgb="FFF2F2F7"/>
        <bgColor rgb="FFF2F2F7"/>
      </patternFill>
    </fill>
  </fills>
  <borders count="4">
    <border>
      <left/>
      <right/>
      <top/>
      <bottom/>
      <diagonal/>
    </border>
    <border>
      <left style="thin">
        <color rgb="FFC6C6C8"/>
      </left>
      <right style="thin">
        <color rgb="FFC6C6C8"/>
      </right>
      <top style="thin">
        <color rgb="FFC6C6C8"/>
      </top>
      <bottom style="thin">
        <color rgb="FFC6C6C8"/>
      </bottom>
    </border>
    <border>
      <bottom style="thin">
        <color rgb="FFAEAEB2"/>
      </bottom>
    </border>
    <border>
      <bottom style="thin">
        <color rgb="FFC6C6C8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bottom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right" vertical="top" indent="1"/>
    </xf>
    <xf numFmtId="0" fontId="0" fillId="0" borderId="0" applyAlignment="1" pivotButton="0" quotePrefix="0" xfId="0">
      <alignment vertical="top" wrapText="1"/>
    </xf>
    <xf numFmtId="0" fontId="4" fillId="2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5" fillId="0" borderId="0" pivotButton="0" quotePrefix="0" xfId="0"/>
    <xf numFmtId="0" fontId="4" fillId="0" borderId="2" applyAlignment="1" pivotButton="0" quotePrefix="0" xfId="0">
      <alignment horizontal="left" vertical="bottom" wrapText="1"/>
    </xf>
    <xf numFmtId="0" fontId="4" fillId="0" borderId="2" applyAlignment="1" pivotButton="0" quotePrefix="0" xfId="0">
      <alignment horizontal="right" vertical="bottom" wrapText="1"/>
    </xf>
    <xf numFmtId="165" fontId="0" fillId="0" borderId="3" pivotButton="0" quotePrefix="0" xfId="0"/>
    <xf numFmtId="0" fontId="0" fillId="0" borderId="3" pivotButton="0" quotePrefix="0" xfId="0"/>
    <xf numFmtId="4" fontId="0" fillId="0" borderId="3" pivotButton="0" quotePrefix="0" xfId="0"/>
    <xf numFmtId="166" fontId="0" fillId="3" borderId="3" pivotButton="0" quotePrefix="0" xfId="0"/>
    <xf numFmtId="167" fontId="0" fillId="3" borderId="3" applyAlignment="1" pivotButton="0" quotePrefix="0" xfId="0">
      <alignment horizontal="right"/>
    </xf>
    <xf numFmtId="0" fontId="0" fillId="3" borderId="3" pivotButton="0" quotePrefix="0" xfId="0"/>
    <xf numFmtId="4" fontId="0" fillId="3" borderId="3" applyAlignment="1" pivotButton="0" quotePrefix="0" xfId="0">
      <alignment horizontal="right"/>
    </xf>
    <xf numFmtId="2" fontId="0" fillId="3" borderId="3" applyAlignment="1" pivotButton="0" quotePrefix="0" xfId="0">
      <alignment horizontal="right"/>
    </xf>
    <xf numFmtId="168" fontId="0" fillId="3" borderId="3" pivotButton="0" quotePrefix="0" xfId="0"/>
    <xf numFmtId="0" fontId="0" fillId="2" borderId="3" pivotButton="0" quotePrefix="0" xfId="0"/>
  </cellXfs>
  <cellStyles count="1">
    <cellStyle name="Normal" xfId="0" builtinId="0" hidden="0"/>
  </cellStyles>
  <dxfs count="4">
    <dxf>
      <border>
        <bottom style="thin">
          <color rgb="FFC6C6C8"/>
        </bottom>
        <horizontal style="thin">
          <color rgb="FFC6C6C8"/>
        </horizontal>
      </border>
    </dxf>
    <dxf>
      <font>
        <b val="1"/>
        <color theme="1"/>
      </font>
      <border>
        <bottom style="thin">
          <color rgb="FFAEAEB2"/>
        </bottom>
      </border>
    </dxf>
    <dxf>
      <font>
        <b val="1"/>
      </font>
      <border>
        <top style="thin">
          <color rgb="FF1D1D1F"/>
        </top>
      </border>
    </dxf>
    <dxf>
      <fill>
        <patternFill patternType="solid">
          <fgColor theme="2"/>
          <bgColor theme="2"/>
        </patternFill>
      </fill>
    </dxf>
  </dxfs>
  <tableStyles count="1" defaultTableStyle="Halo" defaultPivotStyle="PivotStyleLight16">
    <tableStyle name="Halo" pivot="0" count="4">
      <tableStyleElement type="wholeTable" dxfId="0"/>
      <tableStyleElement type="headerRow" dxfId="1"/>
      <tableStyleElement type="totalRow" dxfId="2"/>
      <tableStyleElement type="first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D1D1F"/>
                </a:solidFill>
              </a:defRPr>
            </a:pPr>
            <a:r>
              <a:rPr sz="1100" b="1">
                <a:solidFill>
                  <a:srgbClr val="1D1D1F"/>
                </a:solidFill>
              </a:rPr>
              <a:t>Somme de la valeur 1 par catégorie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'Analyse'!J6</f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cat>
            <numRef>
              <f>'Analyse'!$H$7:$H$14</f>
            </numRef>
          </cat>
          <val>
            <numRef>
              <f>'Analyse'!$J$7:$J$14</f>
            </numRef>
          </val>
        </ser>
        <dLbls>
          <numFmt formatCode="#,##0;-#,##0;;" sourceLinked="0"/>
          <txPr>
            <a:bodyPr xmlns:a="http://schemas.openxmlformats.org/drawingml/2006/main"/>
            <a:p xmlns:a="http://schemas.openxmlformats.org/drawingml/2006/main">
              <a:pPr>
                <a:defRPr sz="900" b="0">
                  <a:solidFill>
                    <a:srgbClr val="1D1D1F"/>
                  </a:solidFill>
                </a:defRPr>
              </a:pPr>
              <a:r>
                <a:t/>
              </a:r>
              <a:endParaRPr sz="900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C6C6C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5E5EA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D1D1F"/>
                </a:solidFill>
              </a:defRPr>
            </a:pPr>
            <a:r>
              <a:rPr sz="1100" b="1">
                <a:solidFill>
                  <a:srgbClr val="1D1D1F"/>
                </a:solidFill>
              </a:rPr>
              <a:t>Somme de la valeur 1 par mois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'Analyse'!D20</f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cat>
            <numRef>
              <f>'Analyse'!$B$21:$B$32</f>
            </numRef>
          </cat>
          <val>
            <numRef>
              <f>'Analyse'!$D$21:$D$32</f>
            </numRef>
          </val>
        </ser>
        <dLbls>
          <numFmt formatCode="#,##0;-#,##0;;" sourceLinked="0"/>
          <txPr>
            <a:bodyPr xmlns:a="http://schemas.openxmlformats.org/drawingml/2006/main"/>
            <a:p xmlns:a="http://schemas.openxmlformats.org/drawingml/2006/main">
              <a:pPr>
                <a:defRPr sz="900" b="0">
                  <a:solidFill>
                    <a:srgbClr val="1D1D1F"/>
                  </a:solidFill>
                </a:defRPr>
              </a:pPr>
              <a:r>
                <a:t/>
              </a:r>
              <a:endParaRPr sz="900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numFmt formatCode="mmm" sourceLinked="0"/>
        <majorTickMark val="none"/>
        <minorTickMark val="none"/>
        <spPr>
          <a:ln xmlns:a="http://schemas.openxmlformats.org/drawingml/2006/main" w="9525">
            <a:solidFill>
              <a:srgbClr val="C6C6C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5E5EA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D1D1F"/>
                </a:solidFill>
              </a:defRPr>
            </a:pPr>
            <a:r>
              <a:rPr sz="1100" b="1">
                <a:solidFill>
                  <a:srgbClr val="1D1D1F"/>
                </a:solidFill>
              </a:rPr>
              <a:t>Valeur 2 selon la valeur 1</a:t>
            </a:r>
          </a:p>
        </rich>
      </tx>
      <overlay val="0"/>
    </title>
    <plotArea>
      <scatterChart>
        <ser>
          <idx val="0"/>
          <order val="0"/>
          <tx>
            <strRef>
              <f>'Données'!E1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chemeClr val="accent1"/>
              </a:solidFill>
              <a:ln xmlns:a="http://schemas.openxmlformats.org/drawingml/2006/main">
                <a:noFill/>
                <a:prstDash val="solid"/>
              </a:ln>
            </spPr>
          </marker>
          <trendline>
            <spPr>
              <a:ln xmlns:a="http://schemas.openxmlformats.org/drawingml/2006/main" w="19050">
                <a:solidFill>
                  <a:srgbClr val="AEAEB2"/>
                </a:solidFill>
                <a:prstDash val="dash"/>
              </a:ln>
            </spPr>
            <trendlineType val="linear"/>
            <dispRSqr val="0"/>
            <dispEq val="0"/>
          </trendline>
          <xVal>
            <numRef>
              <f>'Données'!$D$2:$D$25</f>
            </numRef>
          </xVal>
          <yVal>
            <numRef>
              <f>'Données'!$E$2:$E$25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Valeur 1</a:t>
                </a:r>
              </a:p>
            </rich>
          </tx>
        </title>
        <majorTickMark val="none"/>
        <minorTickMark val="none"/>
        <spPr>
          <a:ln xmlns:a="http://schemas.openxmlformats.org/drawingml/2006/main" w="9525">
            <a:solidFill>
              <a:srgbClr val="C6C6C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5E5EA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Valeur 2</a:t>
                </a:r>
              </a:p>
            </rich>
          </tx>
        </title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7</col>
      <colOff>0</colOff>
      <row>15</row>
      <rowOff>0</rowOff>
    </from>
    <ext cx="54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31</row>
      <rowOff>0</rowOff>
    </from>
    <ext cx="54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34</row>
      <rowOff>0</rowOff>
    </from>
    <ext cx="54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Donnees" displayName="tDonnees" ref="A1:G25" headerRowCount="1">
  <tableColumns count="7">
    <tableColumn id="1" name="Date"/>
    <tableColumn id="2" name="Catégorie"/>
    <tableColumn id="3" name="Groupe"/>
    <tableColumn id="4" name="Valeur 1"/>
    <tableColumn id="5" name="Valeur 2"/>
    <tableColumn id="6" name="Commentaire"/>
    <tableColumn id="7" name="Mois">
      <calculatedColumnFormula>IF(tDonnees[[#This Row],[Date]]="","",DATE(YEAR(tDonnees[[#This Row],[Date]]),MONTH(tDonnees[[#This Row],[Date]]),1))</calculatedColumnFormula>
    </tableColumn>
  </tableColumns>
  <tableStyleInfo name="Halo" showFirstColumn="0" showLastColumn="0" showRowStripes="0" showColumnStripes="0"/>
</table>
</file>

<file path=xl/theme/theme1.xml><?xml version="1.0" encoding="utf-8"?>
<a:theme xmlns:a="http://schemas.openxmlformats.org/drawingml/2006/main" name="Halo Crépuscule">
  <a:themeElements>
    <a:clrScheme name="Halo Crépuscule">
      <a:dk1>
        <a:srgbClr val="1D1D1F"/>
      </a:dk1>
      <a:lt1>
        <a:srgbClr val="FFFFFF"/>
      </a:lt1>
      <a:dk2>
        <a:srgbClr val="6C6C70"/>
      </a:dk2>
      <a:lt2>
        <a:srgbClr val="F2F2F7"/>
      </a:lt2>
      <a:accent1>
        <a:srgbClr val="3A1D6E"/>
      </a:accent1>
      <a:accent2>
        <a:srgbClr val="FA8921"/>
      </a:accent2>
      <a:accent3>
        <a:srgbClr val="00C5B1"/>
      </a:accent3>
      <a:accent4>
        <a:srgbClr val="CFA500"/>
      </a:accent4>
      <a:accent5>
        <a:srgbClr val="CB30E0"/>
      </a:accent5>
      <a:accent6>
        <a:srgbClr val="34C759"/>
      </a:accent6>
      <a:hlink>
        <a:srgbClr val="3A1D6E"/>
      </a:hlink>
      <a:folHlink>
        <a:srgbClr val="5747E7"/>
      </a:folHlink>
    </a:clrScheme>
    <a:fontScheme name="Halo Crépuscule">
      <a:majorFont>
        <a:latin typeface="Helvetica"/>
        <a:ea typeface=""/>
        <a:cs typeface=""/>
      </a:majorFont>
      <a:minorFont>
        <a:latin typeface="Helvetica"/>
        <a:ea typeface=""/>
        <a:cs typeface=""/>
      </a:minorFont>
    </a:fontScheme>
    <a:fmtScheme name="Halo Crépuscule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>
            <a:shade val="85000"/>
          </a:schemeClr>
        </a:soli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76200" dist="12700" dir="5400000" algn="t" rotWithShape="0">
              <a:srgbClr val="000000">
                <a:alpha val="16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solidFill>
          <a:schemeClr val="phClr">
            <a:shade val="90000"/>
          </a:schemeClr>
        </a:soli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0" customWidth="1" min="3" max="3"/>
  </cols>
  <sheetData>
    <row r="2" ht="30" customHeight="1">
      <c r="B2" s="1" t="inlineStr">
        <is>
          <t>Analyse de données</t>
        </is>
      </c>
    </row>
    <row r="3" ht="18" customHeight="1">
      <c r="B3" s="2" t="inlineStr">
        <is>
          <t>Saisissez vos observations dans « Données » : statistiques, répartitions et graphiques se mettent à jour seuls.</t>
        </is>
      </c>
    </row>
    <row r="5" ht="22" customHeight="1">
      <c r="B5" s="3" t="inlineStr">
        <is>
          <t>Mode d’emploi</t>
        </is>
      </c>
    </row>
    <row r="6" ht="16" customHeight="1">
      <c r="B6" s="4" t="inlineStr">
        <is>
          <t>1.</t>
        </is>
      </c>
      <c r="C6" s="5" t="inlineStr">
        <is>
          <t>Dans « Paramètres », nommez vos catégories et vos groupes (huit et quatre au plus).</t>
        </is>
      </c>
    </row>
    <row r="7" ht="30" customHeight="1">
      <c r="B7" s="4" t="inlineStr">
        <is>
          <t>2.</t>
        </is>
      </c>
      <c r="C7" s="5" t="inlineStr">
        <is>
          <t>Dans « Données », remplacez les lignes d’exemple par vos observations : une ligne par observation. Le tableau s’agrandit seul.</t>
        </is>
      </c>
    </row>
    <row r="8" ht="16" customHeight="1">
      <c r="B8" s="4" t="inlineStr">
        <is>
          <t>3.</t>
        </is>
      </c>
      <c r="C8" s="5" t="inlineStr">
        <is>
          <t>Renommez au besoin les en-têtes « Valeur 1 » et « Valeur 2 » : les formules suivent le nouveau nom.</t>
        </is>
      </c>
    </row>
    <row r="9" ht="30" customHeight="1">
      <c r="B9" s="4" t="inlineStr">
        <is>
          <t>4.</t>
        </is>
      </c>
      <c r="C9" s="5" t="inlineStr">
        <is>
          <t>Lisez les résultats dans « Analyse ». Pour aller plus loin : Insertion → Tableau croisé dynamique sur le tableau des données.</t>
        </is>
      </c>
    </row>
    <row r="11" ht="22" customHeight="1">
      <c r="B11" s="3" t="inlineStr">
        <is>
          <t>Couleurs des cellules</t>
        </is>
      </c>
    </row>
    <row r="12" ht="18" customHeight="1">
      <c r="B12" s="6" t="inlineStr">
        <is>
          <t>Paramètre</t>
        </is>
      </c>
      <c r="C12" t="inlineStr">
        <is>
          <t>À régler d’abord : date de début, membres, catégories…</t>
        </is>
      </c>
    </row>
    <row r="13" ht="18" customHeight="1">
      <c r="B13" s="7" t="inlineStr">
        <is>
          <t>Saisie</t>
        </is>
      </c>
      <c r="C13" t="inlineStr">
        <is>
          <t>Cellules blanches : vos données, ligne par ligne.</t>
        </is>
      </c>
    </row>
    <row r="14" ht="18" customHeight="1">
      <c r="B14" s="8" t="inlineStr">
        <is>
          <t>Calcul</t>
        </is>
      </c>
      <c r="C14" t="inlineStr">
        <is>
          <t>Cellules grises : calculées automatiquement, ne pas écraser.</t>
        </is>
      </c>
    </row>
    <row r="16" ht="22" customHeight="1">
      <c r="B16" s="3" t="inlineStr">
        <is>
          <t>Bon à savoir</t>
        </is>
      </c>
    </row>
    <row r="17" ht="16" customHeight="1">
      <c r="B17" s="4" t="inlineStr">
        <is>
          <t>·</t>
        </is>
      </c>
      <c r="C17" s="5" t="inlineStr">
        <is>
          <t>Les données livrées sont des exemples fictifs : effacez-les avant de saisir les vôtres.</t>
        </is>
      </c>
    </row>
    <row r="18" ht="16" customHeight="1">
      <c r="B18" s="4" t="inlineStr">
        <is>
          <t>·</t>
        </is>
      </c>
      <c r="C18" s="5" t="inlineStr">
        <is>
          <t>L’écart-type est celui d’un échantillon (ÉCARTYPE) ; la corrélation est celle de Pearson.</t>
        </is>
      </c>
    </row>
    <row r="20">
      <c r="B20" s="9" t="inlineStr">
        <is>
          <t>Modèle Halo · police Helvetica · nuance : Mise en page → Thèmes.</t>
        </is>
      </c>
    </row>
  </sheetData>
  <printOptions horizontalCentered="0"/>
  <pageMargins left="0.6" right="0.6" top="0.7" bottom="0.7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3" customWidth="1" min="4" max="4"/>
    <col width="13" customWidth="1" min="5" max="5"/>
    <col width="34" customWidth="1" min="6" max="6"/>
    <col width="13" customWidth="1" min="7" max="7"/>
  </cols>
  <sheetData>
    <row r="1" ht="20" customHeight="1">
      <c r="A1" s="10" t="inlineStr">
        <is>
          <t>Date</t>
        </is>
      </c>
      <c r="B1" s="10" t="inlineStr">
        <is>
          <t>Catégorie</t>
        </is>
      </c>
      <c r="C1" s="10" t="inlineStr">
        <is>
          <t>Groupe</t>
        </is>
      </c>
      <c r="D1" s="11" t="inlineStr">
        <is>
          <t>Valeur 1</t>
        </is>
      </c>
      <c r="E1" s="11" t="inlineStr">
        <is>
          <t>Valeur 2</t>
        </is>
      </c>
      <c r="F1" s="10" t="inlineStr">
        <is>
          <t>Commentaire</t>
        </is>
      </c>
      <c r="G1" s="10" t="inlineStr">
        <is>
          <t>Mois</t>
        </is>
      </c>
    </row>
    <row r="2">
      <c r="A2" s="12" t="n">
        <v>46117</v>
      </c>
      <c r="B2" s="13" t="inlineStr">
        <is>
          <t>Catégorie A</t>
        </is>
      </c>
      <c r="C2" s="13" t="inlineStr">
        <is>
          <t>Groupe 2</t>
        </is>
      </c>
      <c r="D2" s="14" t="n">
        <v>40</v>
      </c>
      <c r="E2" s="14" t="n">
        <v>447.1</v>
      </c>
      <c r="F2" s="13" t="inlineStr">
        <is>
          <t>Exemple</t>
        </is>
      </c>
      <c r="G2" s="15">
        <f>IF(tDonnees[[#This Row],[Date]]="","",DATE(YEAR(tDonnees[[#This Row],[Date]]),MONTH(tDonnees[[#This Row],[Date]]),1))</f>
        <v/>
      </c>
    </row>
    <row r="3">
      <c r="A3" s="12" t="n">
        <v>46122</v>
      </c>
      <c r="B3" s="13" t="inlineStr">
        <is>
          <t>Catégorie B</t>
        </is>
      </c>
      <c r="C3" s="13" t="inlineStr">
        <is>
          <t>Groupe 1</t>
        </is>
      </c>
      <c r="D3" s="14" t="n">
        <v>29</v>
      </c>
      <c r="E3" s="14" t="n">
        <v>355.29</v>
      </c>
      <c r="F3" s="13" t="n"/>
      <c r="G3" s="15">
        <f>IF(tDonnees[[#This Row],[Date]]="","",DATE(YEAR(tDonnees[[#This Row],[Date]]),MONTH(tDonnees[[#This Row],[Date]]),1))</f>
        <v/>
      </c>
    </row>
    <row r="4">
      <c r="A4" s="12" t="n">
        <v>46131</v>
      </c>
      <c r="B4" s="13" t="inlineStr">
        <is>
          <t>Catégorie C</t>
        </is>
      </c>
      <c r="C4" s="13" t="inlineStr">
        <is>
          <t>Groupe 1</t>
        </is>
      </c>
      <c r="D4" s="14" t="n">
        <v>35</v>
      </c>
      <c r="E4" s="14" t="n">
        <v>358.9</v>
      </c>
      <c r="F4" s="13" t="n"/>
      <c r="G4" s="15">
        <f>IF(tDonnees[[#This Row],[Date]]="","",DATE(YEAR(tDonnees[[#This Row],[Date]]),MONTH(tDonnees[[#This Row],[Date]]),1))</f>
        <v/>
      </c>
    </row>
    <row r="5">
      <c r="A5" s="12" t="n">
        <v>46138</v>
      </c>
      <c r="B5" s="13" t="inlineStr">
        <is>
          <t>Catégorie D</t>
        </is>
      </c>
      <c r="C5" s="13" t="inlineStr">
        <is>
          <t>Groupe 2</t>
        </is>
      </c>
      <c r="D5" s="14" t="n">
        <v>22</v>
      </c>
      <c r="E5" s="14" t="n">
        <v>262.96</v>
      </c>
      <c r="F5" s="13" t="n"/>
      <c r="G5" s="15">
        <f>IF(tDonnees[[#This Row],[Date]]="","",DATE(YEAR(tDonnees[[#This Row],[Date]]),MONTH(tDonnees[[#This Row],[Date]]),1))</f>
        <v/>
      </c>
    </row>
    <row r="6">
      <c r="A6" s="12" t="n">
        <v>46144</v>
      </c>
      <c r="B6" s="13" t="inlineStr">
        <is>
          <t>Catégorie A</t>
        </is>
      </c>
      <c r="C6" s="13" t="inlineStr">
        <is>
          <t>Groupe 1</t>
        </is>
      </c>
      <c r="D6" s="14" t="n">
        <v>36</v>
      </c>
      <c r="E6" s="14" t="n">
        <v>464.54</v>
      </c>
      <c r="F6" s="13" t="n"/>
      <c r="G6" s="15">
        <f>IF(tDonnees[[#This Row],[Date]]="","",DATE(YEAR(tDonnees[[#This Row],[Date]]),MONTH(tDonnees[[#This Row],[Date]]),1))</f>
        <v/>
      </c>
    </row>
    <row r="7">
      <c r="A7" s="12" t="n">
        <v>46152</v>
      </c>
      <c r="B7" s="13" t="inlineStr">
        <is>
          <t>Catégorie B</t>
        </is>
      </c>
      <c r="C7" s="13" t="inlineStr">
        <is>
          <t>Groupe 1</t>
        </is>
      </c>
      <c r="D7" s="14" t="n">
        <v>25</v>
      </c>
      <c r="E7" s="14" t="n">
        <v>269.29</v>
      </c>
      <c r="F7" s="13" t="n"/>
      <c r="G7" s="15">
        <f>IF(tDonnees[[#This Row],[Date]]="","",DATE(YEAR(tDonnees[[#This Row],[Date]]),MONTH(tDonnees[[#This Row],[Date]]),1))</f>
        <v/>
      </c>
    </row>
    <row r="8">
      <c r="A8" s="12" t="n">
        <v>46160</v>
      </c>
      <c r="B8" s="13" t="inlineStr">
        <is>
          <t>Catégorie C</t>
        </is>
      </c>
      <c r="C8" s="13" t="inlineStr">
        <is>
          <t>Groupe 2</t>
        </is>
      </c>
      <c r="D8" s="14" t="n">
        <v>43</v>
      </c>
      <c r="E8" s="14" t="n">
        <v>455.79</v>
      </c>
      <c r="F8" s="13" t="n"/>
      <c r="G8" s="15">
        <f>IF(tDonnees[[#This Row],[Date]]="","",DATE(YEAR(tDonnees[[#This Row],[Date]]),MONTH(tDonnees[[#This Row],[Date]]),1))</f>
        <v/>
      </c>
    </row>
    <row r="9">
      <c r="A9" s="12" t="n">
        <v>46166</v>
      </c>
      <c r="B9" s="13" t="inlineStr">
        <is>
          <t>Catégorie D</t>
        </is>
      </c>
      <c r="C9" s="13" t="inlineStr">
        <is>
          <t>Groupe 1</t>
        </is>
      </c>
      <c r="D9" s="14" t="n">
        <v>12</v>
      </c>
      <c r="E9" s="14" t="n">
        <v>119.27</v>
      </c>
      <c r="F9" s="13" t="n"/>
      <c r="G9" s="15">
        <f>IF(tDonnees[[#This Row],[Date]]="","",DATE(YEAR(tDonnees[[#This Row],[Date]]),MONTH(tDonnees[[#This Row],[Date]]),1))</f>
        <v/>
      </c>
    </row>
    <row r="10">
      <c r="A10" s="12" t="n">
        <v>46175</v>
      </c>
      <c r="B10" s="13" t="inlineStr">
        <is>
          <t>Catégorie A</t>
        </is>
      </c>
      <c r="C10" s="13" t="inlineStr">
        <is>
          <t>Groupe 1</t>
        </is>
      </c>
      <c r="D10" s="14" t="n">
        <v>49</v>
      </c>
      <c r="E10" s="14" t="n">
        <v>586.3200000000001</v>
      </c>
      <c r="F10" s="13" t="n"/>
      <c r="G10" s="15">
        <f>IF(tDonnees[[#This Row],[Date]]="","",DATE(YEAR(tDonnees[[#This Row],[Date]]),MONTH(tDonnees[[#This Row],[Date]]),1))</f>
        <v/>
      </c>
    </row>
    <row r="11">
      <c r="A11" s="12" t="n">
        <v>46183</v>
      </c>
      <c r="B11" s="13" t="inlineStr">
        <is>
          <t>Catégorie B</t>
        </is>
      </c>
      <c r="C11" s="13" t="inlineStr">
        <is>
          <t>Groupe 2</t>
        </is>
      </c>
      <c r="D11" s="14" t="n">
        <v>19</v>
      </c>
      <c r="E11" s="14" t="n">
        <v>242.77</v>
      </c>
      <c r="F11" s="13" t="n"/>
      <c r="G11" s="15">
        <f>IF(tDonnees[[#This Row],[Date]]="","",DATE(YEAR(tDonnees[[#This Row],[Date]]),MONTH(tDonnees[[#This Row],[Date]]),1))</f>
        <v/>
      </c>
    </row>
    <row r="12">
      <c r="A12" s="12" t="n">
        <v>46191</v>
      </c>
      <c r="B12" s="13" t="inlineStr">
        <is>
          <t>Catégorie C</t>
        </is>
      </c>
      <c r="C12" s="13" t="inlineStr">
        <is>
          <t>Groupe 1</t>
        </is>
      </c>
      <c r="D12" s="14" t="n">
        <v>42</v>
      </c>
      <c r="E12" s="14" t="n">
        <v>460.62</v>
      </c>
      <c r="F12" s="13" t="n"/>
      <c r="G12" s="15">
        <f>IF(tDonnees[[#This Row],[Date]]="","",DATE(YEAR(tDonnees[[#This Row],[Date]]),MONTH(tDonnees[[#This Row],[Date]]),1))</f>
        <v/>
      </c>
    </row>
    <row r="13">
      <c r="A13" s="12" t="n">
        <v>46196</v>
      </c>
      <c r="B13" s="13" t="inlineStr">
        <is>
          <t>Catégorie D</t>
        </is>
      </c>
      <c r="C13" s="13" t="inlineStr">
        <is>
          <t>Groupe 1</t>
        </is>
      </c>
      <c r="D13" s="14" t="n">
        <v>12</v>
      </c>
      <c r="E13" s="14" t="n">
        <v>109.99</v>
      </c>
      <c r="F13" s="13" t="n"/>
      <c r="G13" s="15">
        <f>IF(tDonnees[[#This Row],[Date]]="","",DATE(YEAR(tDonnees[[#This Row],[Date]]),MONTH(tDonnees[[#This Row],[Date]]),1))</f>
        <v/>
      </c>
    </row>
    <row r="14">
      <c r="A14" s="12" t="n">
        <v>46205</v>
      </c>
      <c r="B14" s="13" t="inlineStr">
        <is>
          <t>Catégorie A</t>
        </is>
      </c>
      <c r="C14" s="13" t="inlineStr">
        <is>
          <t>Groupe 2</t>
        </is>
      </c>
      <c r="D14" s="14" t="n">
        <v>47</v>
      </c>
      <c r="E14" s="14" t="n">
        <v>576.77</v>
      </c>
      <c r="F14" s="13" t="n"/>
      <c r="G14" s="15">
        <f>IF(tDonnees[[#This Row],[Date]]="","",DATE(YEAR(tDonnees[[#This Row],[Date]]),MONTH(tDonnees[[#This Row],[Date]]),1))</f>
        <v/>
      </c>
    </row>
    <row r="15">
      <c r="A15" s="12" t="n">
        <v>46211</v>
      </c>
      <c r="B15" s="13" t="inlineStr">
        <is>
          <t>Catégorie B</t>
        </is>
      </c>
      <c r="C15" s="13" t="inlineStr">
        <is>
          <t>Groupe 1</t>
        </is>
      </c>
      <c r="D15" s="14" t="n">
        <v>22</v>
      </c>
      <c r="E15" s="14" t="n">
        <v>221.14</v>
      </c>
      <c r="F15" s="13" t="n"/>
      <c r="G15" s="15">
        <f>IF(tDonnees[[#This Row],[Date]]="","",DATE(YEAR(tDonnees[[#This Row],[Date]]),MONTH(tDonnees[[#This Row],[Date]]),1))</f>
        <v/>
      </c>
    </row>
    <row r="16">
      <c r="A16" s="12" t="n">
        <v>46221</v>
      </c>
      <c r="B16" s="13" t="inlineStr">
        <is>
          <t>Catégorie C</t>
        </is>
      </c>
      <c r="C16" s="13" t="inlineStr">
        <is>
          <t>Groupe 1</t>
        </is>
      </c>
      <c r="D16" s="14" t="n">
        <v>53</v>
      </c>
      <c r="E16" s="14" t="n">
        <v>565.37</v>
      </c>
      <c r="F16" s="13" t="n"/>
      <c r="G16" s="15">
        <f>IF(tDonnees[[#This Row],[Date]]="","",DATE(YEAR(tDonnees[[#This Row],[Date]]),MONTH(tDonnees[[#This Row],[Date]]),1))</f>
        <v/>
      </c>
    </row>
    <row r="17">
      <c r="A17" s="12" t="n">
        <v>46229</v>
      </c>
      <c r="B17" s="13" t="inlineStr">
        <is>
          <t>Catégorie D</t>
        </is>
      </c>
      <c r="C17" s="13" t="inlineStr">
        <is>
          <t>Groupe 2</t>
        </is>
      </c>
      <c r="D17" s="14" t="n">
        <v>18</v>
      </c>
      <c r="E17" s="14" t="n">
        <v>230.1</v>
      </c>
      <c r="F17" s="13" t="n"/>
      <c r="G17" s="15">
        <f>IF(tDonnees[[#This Row],[Date]]="","",DATE(YEAR(tDonnees[[#This Row],[Date]]),MONTH(tDonnees[[#This Row],[Date]]),1))</f>
        <v/>
      </c>
    </row>
    <row r="18">
      <c r="A18" s="12" t="n">
        <v>46234</v>
      </c>
      <c r="B18" s="13" t="inlineStr">
        <is>
          <t>Catégorie A</t>
        </is>
      </c>
      <c r="C18" s="13" t="inlineStr">
        <is>
          <t>Groupe 1</t>
        </is>
      </c>
      <c r="D18" s="14" t="n">
        <v>39</v>
      </c>
      <c r="E18" s="14" t="n">
        <v>420.1</v>
      </c>
      <c r="F18" s="13" t="n"/>
      <c r="G18" s="15">
        <f>IF(tDonnees[[#This Row],[Date]]="","",DATE(YEAR(tDonnees[[#This Row],[Date]]),MONTH(tDonnees[[#This Row],[Date]]),1))</f>
        <v/>
      </c>
    </row>
    <row r="19">
      <c r="A19" s="12" t="n">
        <v>46242</v>
      </c>
      <c r="B19" s="13" t="inlineStr">
        <is>
          <t>Catégorie B</t>
        </is>
      </c>
      <c r="C19" s="13" t="inlineStr">
        <is>
          <t>Groupe 1</t>
        </is>
      </c>
      <c r="D19" s="14" t="n">
        <v>17</v>
      </c>
      <c r="E19" s="14" t="n">
        <v>182.64</v>
      </c>
      <c r="F19" s="13" t="n"/>
      <c r="G19" s="15">
        <f>IF(tDonnees[[#This Row],[Date]]="","",DATE(YEAR(tDonnees[[#This Row],[Date]]),MONTH(tDonnees[[#This Row],[Date]]),1))</f>
        <v/>
      </c>
    </row>
    <row r="20">
      <c r="A20" s="12" t="n">
        <v>46251</v>
      </c>
      <c r="B20" s="13" t="inlineStr">
        <is>
          <t>Catégorie C</t>
        </is>
      </c>
      <c r="C20" s="13" t="inlineStr">
        <is>
          <t>Groupe 2</t>
        </is>
      </c>
      <c r="D20" s="14" t="n">
        <v>49</v>
      </c>
      <c r="E20" s="14" t="n">
        <v>672.34</v>
      </c>
      <c r="F20" s="13" t="n"/>
      <c r="G20" s="15">
        <f>IF(tDonnees[[#This Row],[Date]]="","",DATE(YEAR(tDonnees[[#This Row],[Date]]),MONTH(tDonnees[[#This Row],[Date]]),1))</f>
        <v/>
      </c>
    </row>
    <row r="21">
      <c r="A21" s="12" t="n">
        <v>46255</v>
      </c>
      <c r="B21" s="13" t="inlineStr">
        <is>
          <t>Catégorie D</t>
        </is>
      </c>
      <c r="C21" s="13" t="inlineStr">
        <is>
          <t>Groupe 1</t>
        </is>
      </c>
      <c r="D21" s="14" t="n">
        <v>19</v>
      </c>
      <c r="E21" s="14" t="n">
        <v>216.7</v>
      </c>
      <c r="F21" s="13" t="n"/>
      <c r="G21" s="15">
        <f>IF(tDonnees[[#This Row],[Date]]="","",DATE(YEAR(tDonnees[[#This Row],[Date]]),MONTH(tDonnees[[#This Row],[Date]]),1))</f>
        <v/>
      </c>
    </row>
    <row r="22">
      <c r="A22" s="12" t="n">
        <v>46265</v>
      </c>
      <c r="B22" s="13" t="inlineStr">
        <is>
          <t>Catégorie A</t>
        </is>
      </c>
      <c r="C22" s="13" t="inlineStr">
        <is>
          <t>Groupe 1</t>
        </is>
      </c>
      <c r="D22" s="14" t="n">
        <v>46</v>
      </c>
      <c r="E22" s="14" t="n">
        <v>566.83</v>
      </c>
      <c r="F22" s="13" t="n"/>
      <c r="G22" s="15">
        <f>IF(tDonnees[[#This Row],[Date]]="","",DATE(YEAR(tDonnees[[#This Row],[Date]]),MONTH(tDonnees[[#This Row],[Date]]),1))</f>
        <v/>
      </c>
    </row>
    <row r="23">
      <c r="A23" s="12" t="n">
        <v>46270</v>
      </c>
      <c r="B23" s="13" t="inlineStr">
        <is>
          <t>Catégorie B</t>
        </is>
      </c>
      <c r="C23" s="13" t="inlineStr">
        <is>
          <t>Groupe 2</t>
        </is>
      </c>
      <c r="D23" s="14" t="n">
        <v>33</v>
      </c>
      <c r="E23" s="14" t="n">
        <v>375.7</v>
      </c>
      <c r="F23" s="13" t="n"/>
      <c r="G23" s="15">
        <f>IF(tDonnees[[#This Row],[Date]]="","",DATE(YEAR(tDonnees[[#This Row],[Date]]),MONTH(tDonnees[[#This Row],[Date]]),1))</f>
        <v/>
      </c>
    </row>
    <row r="24">
      <c r="A24" s="12" t="n">
        <v>46279</v>
      </c>
      <c r="B24" s="13" t="inlineStr">
        <is>
          <t>Catégorie C</t>
        </is>
      </c>
      <c r="C24" s="13" t="inlineStr">
        <is>
          <t>Groupe 1</t>
        </is>
      </c>
      <c r="D24" s="14" t="n">
        <v>52</v>
      </c>
      <c r="E24" s="14" t="n">
        <v>629.34</v>
      </c>
      <c r="F24" s="13" t="n"/>
      <c r="G24" s="15">
        <f>IF(tDonnees[[#This Row],[Date]]="","",DATE(YEAR(tDonnees[[#This Row],[Date]]),MONTH(tDonnees[[#This Row],[Date]]),1))</f>
        <v/>
      </c>
    </row>
    <row r="25">
      <c r="A25" s="12" t="n">
        <v>46288</v>
      </c>
      <c r="B25" s="13" t="inlineStr">
        <is>
          <t>Catégorie D</t>
        </is>
      </c>
      <c r="C25" s="13" t="inlineStr">
        <is>
          <t>Groupe 1</t>
        </is>
      </c>
      <c r="D25" s="14" t="n">
        <v>18</v>
      </c>
      <c r="E25" s="14" t="n">
        <v>185.76</v>
      </c>
      <c r="F25" s="13" t="n"/>
      <c r="G25" s="15">
        <f>IF(tDonnees[[#This Row],[Date]]="","",DATE(YEAR(tDonnees[[#This Row],[Date]]),MONTH(tDonnees[[#This Row],[Date]]),1))</f>
        <v/>
      </c>
    </row>
  </sheetData>
  <dataValidations count="3">
    <dataValidation sqref="B2:B2000" showDropDown="0" showInputMessage="1" showErrorMessage="0" allowBlank="1" promptTitle="Catégorie" prompt="Choisissez dans la liste (voir Paramètres)." type="list">
      <formula1>=lstCategories</formula1>
    </dataValidation>
    <dataValidation sqref="C2:C2000" showDropDown="0" showInputMessage="1" showErrorMessage="0" allowBlank="1" promptTitle="Groupe" prompt="Choisissez dans la liste (voir Paramètres)." type="list">
      <formula1>=lstGroups</formula1>
    </dataValidation>
    <dataValidation sqref="A2:A2000" showDropDown="0" showInputMessage="0" showErrorMessage="1" allowBlank="1" errorTitle="Date" error="Saisissez une date (jj.mm.aaaa)." type="date" operator="greaterThan">
      <formula1>36526</formula1>
    </dataValidation>
  </dataValidations>
  <printOptions horizontalCentered="0"/>
  <pageMargins left="0.6" right="0.6" top="0.7" bottom="0.7" header="0.5" footer="0.5"/>
  <pageSetup orientation="portrait" paperSize="9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K32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2" ht="30" customHeight="1">
      <c r="B2" s="1" t="inlineStr">
        <is>
          <t>Analyse</t>
        </is>
      </c>
    </row>
    <row r="3" ht="18" customHeight="1">
      <c r="B3" s="2" t="inlineStr">
        <is>
          <t>Tout est calculé à partir du tableau « Données ».</t>
        </is>
      </c>
    </row>
    <row r="5" ht="22" customHeight="1">
      <c r="B5" s="3" t="inlineStr">
        <is>
          <t>Statistiques descriptives</t>
        </is>
      </c>
      <c r="H5" s="3" t="inlineStr">
        <is>
          <t>Par catégorie</t>
        </is>
      </c>
    </row>
    <row r="6" ht="20" customHeight="1">
      <c r="B6" s="10" t="inlineStr"/>
      <c r="C6" s="11" t="inlineStr">
        <is>
          <t>Valeur 1</t>
        </is>
      </c>
      <c r="D6" s="11" t="inlineStr">
        <is>
          <t>Valeur 2</t>
        </is>
      </c>
      <c r="H6" s="10" t="inlineStr">
        <is>
          <t>Catégorie</t>
        </is>
      </c>
      <c r="I6" s="11" t="inlineStr">
        <is>
          <t>Nombre</t>
        </is>
      </c>
      <c r="J6" s="11" t="inlineStr">
        <is>
          <t>Somme 1</t>
        </is>
      </c>
      <c r="K6" s="11" t="inlineStr">
        <is>
          <t>Moyenne 1</t>
        </is>
      </c>
    </row>
    <row r="7">
      <c r="B7" s="13" t="inlineStr">
        <is>
          <t>Observations</t>
        </is>
      </c>
      <c r="C7" s="16">
        <f>COUNT(tDonnees[Valeur 1])</f>
        <v/>
      </c>
      <c r="D7" s="16">
        <f>COUNT(tDonnees[Valeur 2])</f>
        <v/>
      </c>
      <c r="H7" s="17">
        <f>IF('Paramètres'!$B$6="","",'Paramètres'!$B$6)</f>
        <v/>
      </c>
      <c r="I7" s="16">
        <f>IF(H7="","",COUNTIFS(tDonnees[Catégorie],H7))</f>
        <v/>
      </c>
      <c r="J7" s="18">
        <f>IF(H7="","",SUMIFS(tDonnees[Valeur 1],tDonnees[Catégorie],H7))</f>
        <v/>
      </c>
      <c r="K7" s="18">
        <f>IF(H7="","",IFERROR(AVERAGEIFS(tDonnees[Valeur 1],tDonnees[Catégorie],H7),""))</f>
        <v/>
      </c>
    </row>
    <row r="8">
      <c r="B8" s="13" t="inlineStr">
        <is>
          <t>Somme</t>
        </is>
      </c>
      <c r="C8" s="18">
        <f>SUM(tDonnees[Valeur 1])</f>
        <v/>
      </c>
      <c r="D8" s="18">
        <f>SUM(tDonnees[Valeur 2])</f>
        <v/>
      </c>
      <c r="H8" s="17">
        <f>IF('Paramètres'!$B$7="","",'Paramètres'!$B$7)</f>
        <v/>
      </c>
      <c r="I8" s="16">
        <f>IF(H8="","",COUNTIFS(tDonnees[Catégorie],H8))</f>
        <v/>
      </c>
      <c r="J8" s="18">
        <f>IF(H8="","",SUMIFS(tDonnees[Valeur 1],tDonnees[Catégorie],H8))</f>
        <v/>
      </c>
      <c r="K8" s="18">
        <f>IF(H8="","",IFERROR(AVERAGEIFS(tDonnees[Valeur 1],tDonnees[Catégorie],H8),""))</f>
        <v/>
      </c>
    </row>
    <row r="9">
      <c r="B9" s="13" t="inlineStr">
        <is>
          <t>Moyenne</t>
        </is>
      </c>
      <c r="C9" s="18">
        <f>IFERROR(AVERAGE(tDonnees[Valeur 1]),"")</f>
        <v/>
      </c>
      <c r="D9" s="18">
        <f>IFERROR(AVERAGE(tDonnees[Valeur 2]),"")</f>
        <v/>
      </c>
      <c r="H9" s="17">
        <f>IF('Paramètres'!$B$8="","",'Paramètres'!$B$8)</f>
        <v/>
      </c>
      <c r="I9" s="16">
        <f>IF(H9="","",COUNTIFS(tDonnees[Catégorie],H9))</f>
        <v/>
      </c>
      <c r="J9" s="18">
        <f>IF(H9="","",SUMIFS(tDonnees[Valeur 1],tDonnees[Catégorie],H9))</f>
        <v/>
      </c>
      <c r="K9" s="18">
        <f>IF(H9="","",IFERROR(AVERAGEIFS(tDonnees[Valeur 1],tDonnees[Catégorie],H9),""))</f>
        <v/>
      </c>
    </row>
    <row r="10">
      <c r="B10" s="13" t="inlineStr">
        <is>
          <t>Médiane</t>
        </is>
      </c>
      <c r="C10" s="18">
        <f>IFERROR(MEDIAN(tDonnees[Valeur 1]),"")</f>
        <v/>
      </c>
      <c r="D10" s="18">
        <f>IFERROR(MEDIAN(tDonnees[Valeur 2]),"")</f>
        <v/>
      </c>
      <c r="H10" s="17">
        <f>IF('Paramètres'!$B$9="","",'Paramètres'!$B$9)</f>
        <v/>
      </c>
      <c r="I10" s="16">
        <f>IF(H10="","",COUNTIFS(tDonnees[Catégorie],H10))</f>
        <v/>
      </c>
      <c r="J10" s="18">
        <f>IF(H10="","",SUMIFS(tDonnees[Valeur 1],tDonnees[Catégorie],H10))</f>
        <v/>
      </c>
      <c r="K10" s="18">
        <f>IF(H10="","",IFERROR(AVERAGEIFS(tDonnees[Valeur 1],tDonnees[Catégorie],H10),""))</f>
        <v/>
      </c>
    </row>
    <row r="11">
      <c r="B11" s="13" t="inlineStr">
        <is>
          <t>Écart-type</t>
        </is>
      </c>
      <c r="C11" s="18">
        <f>IFERROR(STDEV(tDonnees[Valeur 1]),"")</f>
        <v/>
      </c>
      <c r="D11" s="18">
        <f>IFERROR(STDEV(tDonnees[Valeur 2]),"")</f>
        <v/>
      </c>
      <c r="H11" s="17">
        <f>IF('Paramètres'!$B$10="","",'Paramètres'!$B$10)</f>
        <v/>
      </c>
      <c r="I11" s="16">
        <f>IF(H11="","",COUNTIFS(tDonnees[Catégorie],H11))</f>
        <v/>
      </c>
      <c r="J11" s="18">
        <f>IF(H11="","",SUMIFS(tDonnees[Valeur 1],tDonnees[Catégorie],H11))</f>
        <v/>
      </c>
      <c r="K11" s="18">
        <f>IF(H11="","",IFERROR(AVERAGEIFS(tDonnees[Valeur 1],tDonnees[Catégorie],H11),""))</f>
        <v/>
      </c>
    </row>
    <row r="12">
      <c r="B12" s="13" t="inlineStr">
        <is>
          <t>Minimum</t>
        </is>
      </c>
      <c r="C12" s="18">
        <f>IFERROR(MIN(tDonnees[Valeur 1]),"")</f>
        <v/>
      </c>
      <c r="D12" s="18">
        <f>IFERROR(MIN(tDonnees[Valeur 2]),"")</f>
        <v/>
      </c>
      <c r="H12" s="17">
        <f>IF('Paramètres'!$B$11="","",'Paramètres'!$B$11)</f>
        <v/>
      </c>
      <c r="I12" s="16">
        <f>IF(H12="","",COUNTIFS(tDonnees[Catégorie],H12))</f>
        <v/>
      </c>
      <c r="J12" s="18">
        <f>IF(H12="","",SUMIFS(tDonnees[Valeur 1],tDonnees[Catégorie],H12))</f>
        <v/>
      </c>
      <c r="K12" s="18">
        <f>IF(H12="","",IFERROR(AVERAGEIFS(tDonnees[Valeur 1],tDonnees[Catégorie],H12),""))</f>
        <v/>
      </c>
    </row>
    <row r="13">
      <c r="B13" s="13" t="inlineStr">
        <is>
          <t>1er quartile</t>
        </is>
      </c>
      <c r="C13" s="18">
        <f>IFERROR(QUARTILE(tDonnees[Valeur 1],1),"")</f>
        <v/>
      </c>
      <c r="D13" s="18">
        <f>IFERROR(QUARTILE(tDonnees[Valeur 2],1),"")</f>
        <v/>
      </c>
      <c r="H13" s="17">
        <f>IF('Paramètres'!$B$12="","",'Paramètres'!$B$12)</f>
        <v/>
      </c>
      <c r="I13" s="16">
        <f>IF(H13="","",COUNTIFS(tDonnees[Catégorie],H13))</f>
        <v/>
      </c>
      <c r="J13" s="18">
        <f>IF(H13="","",SUMIFS(tDonnees[Valeur 1],tDonnees[Catégorie],H13))</f>
        <v/>
      </c>
      <c r="K13" s="18">
        <f>IF(H13="","",IFERROR(AVERAGEIFS(tDonnees[Valeur 1],tDonnees[Catégorie],H13),""))</f>
        <v/>
      </c>
    </row>
    <row r="14">
      <c r="B14" s="13" t="inlineStr">
        <is>
          <t>3e quartile</t>
        </is>
      </c>
      <c r="C14" s="18">
        <f>IFERROR(QUARTILE(tDonnees[Valeur 1],3),"")</f>
        <v/>
      </c>
      <c r="D14" s="18">
        <f>IFERROR(QUARTILE(tDonnees[Valeur 2],3),"")</f>
        <v/>
      </c>
      <c r="H14" s="17">
        <f>IF('Paramètres'!$B$13="","",'Paramètres'!$B$13)</f>
        <v/>
      </c>
      <c r="I14" s="16">
        <f>IF(H14="","",COUNTIFS(tDonnees[Catégorie],H14))</f>
        <v/>
      </c>
      <c r="J14" s="18">
        <f>IF(H14="","",SUMIFS(tDonnees[Valeur 1],tDonnees[Catégorie],H14))</f>
        <v/>
      </c>
      <c r="K14" s="18">
        <f>IF(H14="","",IFERROR(AVERAGEIFS(tDonnees[Valeur 1],tDonnees[Catégorie],H14),""))</f>
        <v/>
      </c>
    </row>
    <row r="15">
      <c r="B15" s="13" t="inlineStr">
        <is>
          <t>Maximum</t>
        </is>
      </c>
      <c r="C15" s="18">
        <f>IFERROR(MAX(tDonnees[Valeur 1]),"")</f>
        <v/>
      </c>
      <c r="D15" s="18">
        <f>IFERROR(MAX(tDonnees[Valeur 2]),"")</f>
        <v/>
      </c>
    </row>
    <row r="16">
      <c r="B16" s="13" t="inlineStr">
        <is>
          <t>Corrélation (1 et 2)</t>
        </is>
      </c>
      <c r="C16" s="19">
        <f>IFERROR(CORREL(tDonnees[Valeur 1],tDonnees[Valeur 2]),"")</f>
        <v/>
      </c>
      <c r="D16" s="17" t="n"/>
    </row>
    <row r="19" ht="22" customHeight="1">
      <c r="B19" s="3" t="inlineStr">
        <is>
          <t>Par mois</t>
        </is>
      </c>
    </row>
    <row r="20" ht="20" customHeight="1">
      <c r="B20" s="10" t="inlineStr">
        <is>
          <t>Mois</t>
        </is>
      </c>
      <c r="C20" s="11" t="inlineStr">
        <is>
          <t>Nombre</t>
        </is>
      </c>
      <c r="D20" s="11" t="inlineStr">
        <is>
          <t>Somme 1</t>
        </is>
      </c>
      <c r="E20" s="11" t="inlineStr">
        <is>
          <t>Moyenne 1</t>
        </is>
      </c>
    </row>
    <row r="21">
      <c r="B21" s="20">
        <f>IFERROR(DATE(YEAR(MIN(tDonnees[Date])),MONTH(MIN(tDonnees[Date])),1),"")</f>
        <v/>
      </c>
      <c r="C21" s="16">
        <f>IF(B21="","",COUNTIFS(tDonnees[Mois],B21))</f>
        <v/>
      </c>
      <c r="D21" s="18">
        <f>IF(B21="","",SUMIFS(tDonnees[Valeur 1],tDonnees[Mois],B21))</f>
        <v/>
      </c>
      <c r="E21" s="18">
        <f>IF(OR(B21="",C21=0),"",AVERAGEIFS(tDonnees[Valeur 1],tDonnees[Mois],B21))</f>
        <v/>
      </c>
    </row>
    <row r="22">
      <c r="B22" s="20">
        <f>IF(B21="","",IF(EDATE(B21,1)&gt;MAX(tDonnees[Date]),"",EDATE(B21,1)))</f>
        <v/>
      </c>
      <c r="C22" s="16">
        <f>IF(B22="","",COUNTIFS(tDonnees[Mois],B22))</f>
        <v/>
      </c>
      <c r="D22" s="18">
        <f>IF(B22="","",SUMIFS(tDonnees[Valeur 1],tDonnees[Mois],B22))</f>
        <v/>
      </c>
      <c r="E22" s="18">
        <f>IF(OR(B22="",C22=0),"",AVERAGEIFS(tDonnees[Valeur 1],tDonnees[Mois],B22))</f>
        <v/>
      </c>
    </row>
    <row r="23">
      <c r="B23" s="20">
        <f>IF(B22="","",IF(EDATE(B22,1)&gt;MAX(tDonnees[Date]),"",EDATE(B22,1)))</f>
        <v/>
      </c>
      <c r="C23" s="16">
        <f>IF(B23="","",COUNTIFS(tDonnees[Mois],B23))</f>
        <v/>
      </c>
      <c r="D23" s="18">
        <f>IF(B23="","",SUMIFS(tDonnees[Valeur 1],tDonnees[Mois],B23))</f>
        <v/>
      </c>
      <c r="E23" s="18">
        <f>IF(OR(B23="",C23=0),"",AVERAGEIFS(tDonnees[Valeur 1],tDonnees[Mois],B23))</f>
        <v/>
      </c>
    </row>
    <row r="24">
      <c r="B24" s="20">
        <f>IF(B23="","",IF(EDATE(B23,1)&gt;MAX(tDonnees[Date]),"",EDATE(B23,1)))</f>
        <v/>
      </c>
      <c r="C24" s="16">
        <f>IF(B24="","",COUNTIFS(tDonnees[Mois],B24))</f>
        <v/>
      </c>
      <c r="D24" s="18">
        <f>IF(B24="","",SUMIFS(tDonnees[Valeur 1],tDonnees[Mois],B24))</f>
        <v/>
      </c>
      <c r="E24" s="18">
        <f>IF(OR(B24="",C24=0),"",AVERAGEIFS(tDonnees[Valeur 1],tDonnees[Mois],B24))</f>
        <v/>
      </c>
    </row>
    <row r="25">
      <c r="B25" s="20">
        <f>IF(B24="","",IF(EDATE(B24,1)&gt;MAX(tDonnees[Date]),"",EDATE(B24,1)))</f>
        <v/>
      </c>
      <c r="C25" s="16">
        <f>IF(B25="","",COUNTIFS(tDonnees[Mois],B25))</f>
        <v/>
      </c>
      <c r="D25" s="18">
        <f>IF(B25="","",SUMIFS(tDonnees[Valeur 1],tDonnees[Mois],B25))</f>
        <v/>
      </c>
      <c r="E25" s="18">
        <f>IF(OR(B25="",C25=0),"",AVERAGEIFS(tDonnees[Valeur 1],tDonnees[Mois],B25))</f>
        <v/>
      </c>
    </row>
    <row r="26">
      <c r="B26" s="20">
        <f>IF(B25="","",IF(EDATE(B25,1)&gt;MAX(tDonnees[Date]),"",EDATE(B25,1)))</f>
        <v/>
      </c>
      <c r="C26" s="16">
        <f>IF(B26="","",COUNTIFS(tDonnees[Mois],B26))</f>
        <v/>
      </c>
      <c r="D26" s="18">
        <f>IF(B26="","",SUMIFS(tDonnees[Valeur 1],tDonnees[Mois],B26))</f>
        <v/>
      </c>
      <c r="E26" s="18">
        <f>IF(OR(B26="",C26=0),"",AVERAGEIFS(tDonnees[Valeur 1],tDonnees[Mois],B26))</f>
        <v/>
      </c>
    </row>
    <row r="27">
      <c r="B27" s="20">
        <f>IF(B26="","",IF(EDATE(B26,1)&gt;MAX(tDonnees[Date]),"",EDATE(B26,1)))</f>
        <v/>
      </c>
      <c r="C27" s="16">
        <f>IF(B27="","",COUNTIFS(tDonnees[Mois],B27))</f>
        <v/>
      </c>
      <c r="D27" s="18">
        <f>IF(B27="","",SUMIFS(tDonnees[Valeur 1],tDonnees[Mois],B27))</f>
        <v/>
      </c>
      <c r="E27" s="18">
        <f>IF(OR(B27="",C27=0),"",AVERAGEIFS(tDonnees[Valeur 1],tDonnees[Mois],B27))</f>
        <v/>
      </c>
    </row>
    <row r="28">
      <c r="B28" s="20">
        <f>IF(B27="","",IF(EDATE(B27,1)&gt;MAX(tDonnees[Date]),"",EDATE(B27,1)))</f>
        <v/>
      </c>
      <c r="C28" s="16">
        <f>IF(B28="","",COUNTIFS(tDonnees[Mois],B28))</f>
        <v/>
      </c>
      <c r="D28" s="18">
        <f>IF(B28="","",SUMIFS(tDonnees[Valeur 1],tDonnees[Mois],B28))</f>
        <v/>
      </c>
      <c r="E28" s="18">
        <f>IF(OR(B28="",C28=0),"",AVERAGEIFS(tDonnees[Valeur 1],tDonnees[Mois],B28))</f>
        <v/>
      </c>
    </row>
    <row r="29">
      <c r="B29" s="20">
        <f>IF(B28="","",IF(EDATE(B28,1)&gt;MAX(tDonnees[Date]),"",EDATE(B28,1)))</f>
        <v/>
      </c>
      <c r="C29" s="16">
        <f>IF(B29="","",COUNTIFS(tDonnees[Mois],B29))</f>
        <v/>
      </c>
      <c r="D29" s="18">
        <f>IF(B29="","",SUMIFS(tDonnees[Valeur 1],tDonnees[Mois],B29))</f>
        <v/>
      </c>
      <c r="E29" s="18">
        <f>IF(OR(B29="",C29=0),"",AVERAGEIFS(tDonnees[Valeur 1],tDonnees[Mois],B29))</f>
        <v/>
      </c>
    </row>
    <row r="30">
      <c r="B30" s="20">
        <f>IF(B29="","",IF(EDATE(B29,1)&gt;MAX(tDonnees[Date]),"",EDATE(B29,1)))</f>
        <v/>
      </c>
      <c r="C30" s="16">
        <f>IF(B30="","",COUNTIFS(tDonnees[Mois],B30))</f>
        <v/>
      </c>
      <c r="D30" s="18">
        <f>IF(B30="","",SUMIFS(tDonnees[Valeur 1],tDonnees[Mois],B30))</f>
        <v/>
      </c>
      <c r="E30" s="18">
        <f>IF(OR(B30="",C30=0),"",AVERAGEIFS(tDonnees[Valeur 1],tDonnees[Mois],B30))</f>
        <v/>
      </c>
    </row>
    <row r="31">
      <c r="B31" s="20">
        <f>IF(B30="","",IF(EDATE(B30,1)&gt;MAX(tDonnees[Date]),"",EDATE(B30,1)))</f>
        <v/>
      </c>
      <c r="C31" s="16">
        <f>IF(B31="","",COUNTIFS(tDonnees[Mois],B31))</f>
        <v/>
      </c>
      <c r="D31" s="18">
        <f>IF(B31="","",SUMIFS(tDonnees[Valeur 1],tDonnees[Mois],B31))</f>
        <v/>
      </c>
      <c r="E31" s="18">
        <f>IF(OR(B31="",C31=0),"",AVERAGEIFS(tDonnees[Valeur 1],tDonnees[Mois],B31))</f>
        <v/>
      </c>
    </row>
    <row r="32">
      <c r="B32" s="20">
        <f>IF(B31="","",IF(EDATE(B31,1)&gt;MAX(tDonnees[Date]),"",EDATE(B31,1)))</f>
        <v/>
      </c>
      <c r="C32" s="16">
        <f>IF(B32="","",COUNTIFS(tDonnees[Mois],B32))</f>
        <v/>
      </c>
      <c r="D32" s="18">
        <f>IF(B32="","",SUMIFS(tDonnees[Valeur 1],tDonnees[Mois],B32))</f>
        <v/>
      </c>
      <c r="E32" s="18">
        <f>IF(OR(B32="",C32=0),"",AVERAGEIFS(tDonnees[Valeur 1],tDonnees[Mois],B32))</f>
        <v/>
      </c>
    </row>
  </sheetData>
  <printOptions horizontalCentered="0"/>
  <pageMargins left="0.6" right="0.6" top="0.7" bottom="0.7" header="0.5" footer="0.5"/>
  <pageSetup orientation="portrait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D13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4" customWidth="1" min="3" max="3"/>
    <col width="30" customWidth="1" min="4" max="4"/>
  </cols>
  <sheetData>
    <row r="2" ht="30" customHeight="1">
      <c r="B2" s="1" t="inlineStr">
        <is>
          <t>Paramètres</t>
        </is>
      </c>
    </row>
    <row r="3" ht="18" customHeight="1">
      <c r="B3" s="2" t="inlineStr">
        <is>
          <t>Les listes proposées dans les cellules de saisie.</t>
        </is>
      </c>
    </row>
    <row r="5" ht="20" customHeight="1">
      <c r="B5" s="10" t="inlineStr">
        <is>
          <t>Catégories</t>
        </is>
      </c>
      <c r="D5" s="10" t="inlineStr">
        <is>
          <t>Groupes</t>
        </is>
      </c>
    </row>
    <row r="6">
      <c r="B6" s="21" t="inlineStr">
        <is>
          <t>Catégorie A</t>
        </is>
      </c>
      <c r="D6" s="21" t="inlineStr">
        <is>
          <t>Groupe 1</t>
        </is>
      </c>
    </row>
    <row r="7">
      <c r="B7" s="21" t="inlineStr">
        <is>
          <t>Catégorie B</t>
        </is>
      </c>
      <c r="D7" s="21" t="inlineStr">
        <is>
          <t>Groupe 2</t>
        </is>
      </c>
    </row>
    <row r="8">
      <c r="B8" s="21" t="inlineStr">
        <is>
          <t>Catégorie C</t>
        </is>
      </c>
      <c r="D8" s="21" t="n"/>
    </row>
    <row r="9">
      <c r="B9" s="21" t="inlineStr">
        <is>
          <t>Catégorie D</t>
        </is>
      </c>
      <c r="D9" s="21" t="n"/>
    </row>
    <row r="10">
      <c r="B10" s="21" t="n"/>
    </row>
    <row r="11">
      <c r="B11" s="21" t="n"/>
    </row>
    <row r="12">
      <c r="B12" s="21" t="n"/>
    </row>
    <row r="13">
      <c r="B13" s="21" t="n"/>
    </row>
  </sheetData>
  <printOptions horizontalCentered="0"/>
  <pageMargins left="0.6" right="0.6" top="0.7" bottom="0.7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2026-10-12T22:08:22Z</dcterms:created>
  <dcterms:modified xmlns:dcterms="http://purl.org/dc/terms/" xmlns:xsi="http://www.w3.org/2001/XMLSchema-instance" xsi:type="dcterms:W3CDTF">2026-10-12T22:08:23Z</dcterms:modified>
</cp:coreProperties>
</file>