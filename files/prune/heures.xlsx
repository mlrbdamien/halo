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Paramètres" sheetId="4" state="visible" r:id="rId4"/>
  </sheets>
  <definedNames>
    <definedName name="lstMembers">'Paramètres'!$B$7:$B$14</definedName>
    <definedName name="lstCategories">'Paramètres'!$E$7:$E$16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;-#,##0.0;&quot;–&quot;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165" fontId="0" fillId="0" borderId="2" pivotButton="0" quotePrefix="0" xfId="0"/>
    <xf numFmtId="0" fontId="0" fillId="0" borderId="2" pivotButton="0" quotePrefix="0" xfId="0"/>
    <xf numFmtId="2" fontId="0" fillId="0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166" fontId="4" fillId="3" borderId="2" applyAlignment="1" pivotButton="0" quotePrefix="0" xfId="0">
      <alignment horizontal="right"/>
    </xf>
    <xf numFmtId="0" fontId="0" fillId="3" borderId="2" pivotButton="0" quotePrefix="0" xfId="0"/>
    <xf numFmtId="166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0" fontId="4" fillId="3" borderId="3" applyAlignment="1" pivotButton="0" quotePrefix="0" xfId="0">
      <alignment horizontal="right"/>
    </xf>
    <xf numFmtId="0" fontId="4" fillId="0" borderId="3" applyAlignment="1" pivotButton="0" quotePrefix="0" xfId="0">
      <alignment horizontal="right"/>
    </xf>
    <xf numFmtId="165" fontId="0" fillId="3" borderId="2" pivotButton="0" quotePrefix="0" xfId="0"/>
    <xf numFmtId="165" fontId="0" fillId="2" borderId="2" pivotButton="0" quotePrefix="0" xfId="0"/>
    <xf numFmtId="0" fontId="0" fillId="2" borderId="2" pivotButton="0" quotePrefix="0" xfId="0"/>
    <xf numFmtId="166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catégorie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'Synthèse'!C18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'Synthèse'!$B$19:$B$28</f>
            </numRef>
          </cat>
          <val>
            <numRef>
              <f>'Synthèse'!$C$19:$C$28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semaine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'Synthèse'!I32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'Synthèse'!$B$33:$B$48</f>
            </numRef>
          </cat>
          <val>
            <numRef>
              <f>'Synthèse'!$I$33:$I$48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d.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Journal" displayName="tJournal" ref="A1:F11" headerRowCount="1">
  <tableColumns count="6">
    <tableColumn id="1" name="Date"/>
    <tableColumn id="2" name="Membre"/>
    <tableColumn id="3" name="Catégorie"/>
    <tableColumn id="4" name="Description"/>
    <tableColumn id="5" name="Heures"/>
    <tableColumn id="6" name="Semaine">
      <calculatedColumnFormula>IF(tJournal[[#This Row],[Date]]="","",WEEKNUM(tJournal[[#This Row],[Date]],21))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Prune">
  <a:themeElements>
    <a:clrScheme name="Halo Prun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4A1438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4A1438"/>
      </a:hlink>
      <a:folHlink>
        <a:srgbClr val="5747E7"/>
      </a:folHlink>
    </a:clrScheme>
    <a:fontScheme name="Halo Prun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Prun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Journal des heures</t>
        </is>
      </c>
    </row>
    <row r="3" ht="18" customHeight="1">
      <c r="B3" s="2" t="inlineStr">
        <is>
          <t>Chaque membre note ses heures ; la synthèse compare le réalisé au prévu, par membre, catégorie et semaine.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saisissez le début du projet, les membres et leurs heures prévues, puis les catégories.</t>
        </is>
      </c>
    </row>
    <row r="7" ht="30" customHeight="1">
      <c r="B7" s="4" t="inlineStr">
        <is>
          <t>2.</t>
        </is>
      </c>
      <c r="C7" s="5" t="inlineStr">
        <is>
          <t>Dans « Journal », une ligne par séance de travail : date, membre, catégorie, description, heures (1,5 = une heure trente).</t>
        </is>
      </c>
    </row>
    <row r="8" ht="16" customHeight="1">
      <c r="B8" s="4" t="inlineStr">
        <is>
          <t>3.</t>
        </is>
      </c>
      <c r="C8" s="5" t="inlineStr">
        <is>
          <t>Le tableau s’agrandit seul quand vous écrivez sous la dernière ligne.</t>
        </is>
      </c>
    </row>
    <row r="9" ht="16" customHeight="1">
      <c r="B9" s="4" t="inlineStr">
        <is>
          <t>4.</t>
        </is>
      </c>
      <c r="C9" s="5" t="inlineStr">
        <is>
          <t>Lisez « Synthèse » : totaux, écarts au prévu et heures par semaine.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lignes livrées sont des exemples : effacez-les avant de commencer.</t>
        </is>
      </c>
    </row>
    <row r="18" ht="16" customHeight="1">
      <c r="B18" s="4" t="inlineStr">
        <is>
          <t>·</t>
        </is>
      </c>
      <c r="C18" s="5" t="inlineStr">
        <is>
          <t>Repère : un crédit ECTS correspond à 25 à 30 heures de travail.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46" customWidth="1" min="4" max="4"/>
    <col width="10" customWidth="1" min="5" max="5"/>
    <col width="10" customWidth="1" min="6" max="6"/>
  </cols>
  <sheetData>
    <row r="1" ht="20" customHeight="1">
      <c r="A1" s="10" t="inlineStr">
        <is>
          <t>Date</t>
        </is>
      </c>
      <c r="B1" s="10" t="inlineStr">
        <is>
          <t>Membre</t>
        </is>
      </c>
      <c r="C1" s="10" t="inlineStr">
        <is>
          <t>Catégorie</t>
        </is>
      </c>
      <c r="D1" s="10" t="inlineStr">
        <is>
          <t>Description</t>
        </is>
      </c>
      <c r="E1" s="11" t="inlineStr">
        <is>
          <t>Heures</t>
        </is>
      </c>
      <c r="F1" s="11" t="inlineStr">
        <is>
          <t>Semaine</t>
        </is>
      </c>
    </row>
    <row r="2">
      <c r="A2" s="12" t="n">
        <v>46279</v>
      </c>
      <c r="B2" s="13" t="inlineStr">
        <is>
          <t>Alex</t>
        </is>
      </c>
      <c r="C2" s="13" t="inlineStr">
        <is>
          <t>Gestion de projet</t>
        </is>
      </c>
      <c r="D2" s="13" t="inlineStr">
        <is>
          <t>Lancement du projet, rôles et calendrier</t>
        </is>
      </c>
      <c r="E2" s="14" t="n">
        <v>1.5</v>
      </c>
      <c r="F2" s="15">
        <f>IF(tJournal[[#This Row],[Date]]="","",WEEKNUM(tJournal[[#This Row],[Date]],21))</f>
        <v/>
      </c>
    </row>
    <row r="3">
      <c r="A3" s="12" t="n">
        <v>46279</v>
      </c>
      <c r="B3" s="13" t="inlineStr">
        <is>
          <t>Sam</t>
        </is>
      </c>
      <c r="C3" s="13" t="inlineStr">
        <is>
          <t>Gestion de projet</t>
        </is>
      </c>
      <c r="D3" s="13" t="inlineStr">
        <is>
          <t>Lancement du projet</t>
        </is>
      </c>
      <c r="E3" s="14" t="n">
        <v>1.5</v>
      </c>
      <c r="F3" s="15">
        <f>IF(tJournal[[#This Row],[Date]]="","",WEEKNUM(tJournal[[#This Row],[Date]],21))</f>
        <v/>
      </c>
    </row>
    <row r="4">
      <c r="A4" s="12" t="n">
        <v>46279</v>
      </c>
      <c r="B4" s="13" t="inlineStr">
        <is>
          <t>Noa</t>
        </is>
      </c>
      <c r="C4" s="13" t="inlineStr">
        <is>
          <t>Gestion de projet</t>
        </is>
      </c>
      <c r="D4" s="13" t="inlineStr">
        <is>
          <t>Lancement du projet</t>
        </is>
      </c>
      <c r="E4" s="14" t="n">
        <v>1.5</v>
      </c>
      <c r="F4" s="15">
        <f>IF(tJournal[[#This Row],[Date]]="","",WEEKNUM(tJournal[[#This Row],[Date]],21))</f>
        <v/>
      </c>
    </row>
    <row r="5">
      <c r="A5" s="12" t="n">
        <v>46281</v>
      </c>
      <c r="B5" s="13" t="inlineStr">
        <is>
          <t>Noa</t>
        </is>
      </c>
      <c r="C5" s="13" t="inlineStr">
        <is>
          <t>Analyse</t>
        </is>
      </c>
      <c r="D5" s="13" t="inlineStr">
        <is>
          <t>Entretiens avec le mandant</t>
        </is>
      </c>
      <c r="E5" s="14" t="n">
        <v>3</v>
      </c>
      <c r="F5" s="15">
        <f>IF(tJournal[[#This Row],[Date]]="","",WEEKNUM(tJournal[[#This Row],[Date]],21))</f>
        <v/>
      </c>
    </row>
    <row r="6">
      <c r="A6" s="12" t="n">
        <v>46283</v>
      </c>
      <c r="B6" s="13" t="inlineStr">
        <is>
          <t>Alex</t>
        </is>
      </c>
      <c r="C6" s="13" t="inlineStr">
        <is>
          <t>Documentation</t>
        </is>
      </c>
      <c r="D6" s="13" t="inlineStr">
        <is>
          <t>Cahier des charges, première version</t>
        </is>
      </c>
      <c r="E6" s="14" t="n">
        <v>2.5</v>
      </c>
      <c r="F6" s="15">
        <f>IF(tJournal[[#This Row],[Date]]="","",WEEKNUM(tJournal[[#This Row],[Date]],21))</f>
        <v/>
      </c>
    </row>
    <row r="7">
      <c r="A7" s="12" t="n">
        <v>46287</v>
      </c>
      <c r="B7" s="13" t="inlineStr">
        <is>
          <t>Sam</t>
        </is>
      </c>
      <c r="C7" s="13" t="inlineStr">
        <is>
          <t>Conception</t>
        </is>
      </c>
      <c r="D7" s="13" t="inlineStr">
        <is>
          <t>Maquettes des écrans principaux</t>
        </is>
      </c>
      <c r="E7" s="14" t="n">
        <v>4</v>
      </c>
      <c r="F7" s="15">
        <f>IF(tJournal[[#This Row],[Date]]="","",WEEKNUM(tJournal[[#This Row],[Date]],21))</f>
        <v/>
      </c>
    </row>
    <row r="8">
      <c r="A8" s="12" t="n">
        <v>46289</v>
      </c>
      <c r="B8" s="13" t="inlineStr">
        <is>
          <t>Noa</t>
        </is>
      </c>
      <c r="C8" s="13" t="inlineStr">
        <is>
          <t>Analyse</t>
        </is>
      </c>
      <c r="D8" s="13" t="inlineStr">
        <is>
          <t>Synthèse des besoins</t>
        </is>
      </c>
      <c r="E8" s="14" t="n">
        <v>2</v>
      </c>
      <c r="F8" s="15">
        <f>IF(tJournal[[#This Row],[Date]]="","",WEEKNUM(tJournal[[#This Row],[Date]],21))</f>
        <v/>
      </c>
    </row>
    <row r="9">
      <c r="A9" s="12" t="n">
        <v>46294</v>
      </c>
      <c r="B9" s="13" t="inlineStr">
        <is>
          <t>Alex</t>
        </is>
      </c>
      <c r="C9" s="13" t="inlineStr">
        <is>
          <t>Réunion</t>
        </is>
      </c>
      <c r="D9" s="13" t="inlineStr">
        <is>
          <t>Point hebdomadaire</t>
        </is>
      </c>
      <c r="E9" s="14" t="n">
        <v>1</v>
      </c>
      <c r="F9" s="15">
        <f>IF(tJournal[[#This Row],[Date]]="","",WEEKNUM(tJournal[[#This Row],[Date]],21))</f>
        <v/>
      </c>
    </row>
    <row r="10">
      <c r="A10" s="12" t="n">
        <v>46294</v>
      </c>
      <c r="B10" s="13" t="inlineStr">
        <is>
          <t>Sam</t>
        </is>
      </c>
      <c r="C10" s="13" t="inlineStr">
        <is>
          <t>Réunion</t>
        </is>
      </c>
      <c r="D10" s="13" t="inlineStr">
        <is>
          <t>Point hebdomadaire</t>
        </is>
      </c>
      <c r="E10" s="14" t="n">
        <v>1</v>
      </c>
      <c r="F10" s="15">
        <f>IF(tJournal[[#This Row],[Date]]="","",WEEKNUM(tJournal[[#This Row],[Date]],21))</f>
        <v/>
      </c>
    </row>
    <row r="11">
      <c r="A11" s="12" t="n">
        <v>46296</v>
      </c>
      <c r="B11" s="13" t="inlineStr">
        <is>
          <t>Sam</t>
        </is>
      </c>
      <c r="C11" s="13" t="inlineStr">
        <is>
          <t>Développement</t>
        </is>
      </c>
      <c r="D11" s="13" t="inlineStr">
        <is>
          <t>Mise en place du dépôt et de l’environnement</t>
        </is>
      </c>
      <c r="E11" s="14" t="n">
        <v>3.5</v>
      </c>
      <c r="F11" s="15">
        <f>IF(tJournal[[#This Row],[Date]]="","",WEEKNUM(tJournal[[#This Row],[Date]],21))</f>
        <v/>
      </c>
    </row>
  </sheetData>
  <dataValidations count="4">
    <dataValidation sqref="B2:B3000" showDropDown="0" showInputMessage="1" showErrorMessage="0" allowBlank="1" promptTitle="Membre" prompt="Membres listés dans « Paramètres »." type="list">
      <formula1>=lstMembers</formula1>
    </dataValidation>
    <dataValidation sqref="C2:C3000" showDropDown="0" showInputMessage="1" showErrorMessage="0" allowBlank="1" promptTitle="Catégorie" prompt="Catégories listées dans « Paramètres »." type="list">
      <formula1>=lstCategories</formula1>
    </dataValidation>
    <dataValidation sqref="E2:E3000" showDropDown="0" showInputMessage="0" showErrorMessage="1" allowBlank="1" errorTitle="Heures" error="Heures entre 0 et 24 (1,5 = une heure trente)." type="decimal" operator="between">
      <formula1>0</formula1>
      <formula2>24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4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0" customHeight="1">
      <c r="B2" s="1" t="inlineStr">
        <is>
          <t>Synthèse</t>
        </is>
      </c>
    </row>
    <row r="3" ht="18" customHeight="1">
      <c r="B3" s="2" t="inlineStr">
        <is>
          <t>Calculée à partir du journal.</t>
        </is>
      </c>
    </row>
    <row r="4">
      <c r="B4" s="2" t="inlineStr">
        <is>
          <t>Total des heures</t>
        </is>
      </c>
      <c r="C4" s="16">
        <f>SUM(tJournal[Heures])</f>
        <v/>
      </c>
    </row>
    <row r="6" ht="22" customHeight="1">
      <c r="B6" s="3" t="inlineStr">
        <is>
          <t>Par membre</t>
        </is>
      </c>
    </row>
    <row r="7" ht="20" customHeight="1">
      <c r="B7" s="10" t="inlineStr">
        <is>
          <t>Membre</t>
        </is>
      </c>
      <c r="C7" s="11" t="inlineStr">
        <is>
          <t>Réalisé</t>
        </is>
      </c>
      <c r="D7" s="11" t="inlineStr">
        <is>
          <t>Prévu</t>
        </is>
      </c>
      <c r="E7" s="11" t="inlineStr">
        <is>
          <t>Écart</t>
        </is>
      </c>
      <c r="F7" s="11" t="inlineStr">
        <is>
          <t>Réalisé %</t>
        </is>
      </c>
    </row>
    <row r="8">
      <c r="B8" s="17">
        <f>IF('Paramètres'!$B$7="","",'Paramètres'!$B$7)</f>
        <v/>
      </c>
      <c r="C8" s="18">
        <f>IF(B8="","",SUMIFS(tJournal[Heures],tJournal[Membre],B8))</f>
        <v/>
      </c>
      <c r="D8" s="18">
        <f>IF(B8="","",'Paramètres'!$C$7)</f>
        <v/>
      </c>
      <c r="E8" s="18">
        <f>IF(OR(B8="",D8=""),"",C8-D8)</f>
        <v/>
      </c>
      <c r="F8" s="19">
        <f>IF(OR(B8="",N(D8)=0),"",C8/D8)</f>
        <v/>
      </c>
    </row>
    <row r="9">
      <c r="B9" s="17">
        <f>IF('Paramètres'!$B$8="","",'Paramètres'!$B$8)</f>
        <v/>
      </c>
      <c r="C9" s="18">
        <f>IF(B9="","",SUMIFS(tJournal[Heures],tJournal[Membre],B9))</f>
        <v/>
      </c>
      <c r="D9" s="18">
        <f>IF(B9="","",'Paramètres'!$C$8)</f>
        <v/>
      </c>
      <c r="E9" s="18">
        <f>IF(OR(B9="",D9=""),"",C9-D9)</f>
        <v/>
      </c>
      <c r="F9" s="19">
        <f>IF(OR(B9="",N(D9)=0),"",C9/D9)</f>
        <v/>
      </c>
    </row>
    <row r="10">
      <c r="B10" s="17">
        <f>IF('Paramètres'!$B$9="","",'Paramètres'!$B$9)</f>
        <v/>
      </c>
      <c r="C10" s="18">
        <f>IF(B10="","",SUMIFS(tJournal[Heures],tJournal[Membre],B10))</f>
        <v/>
      </c>
      <c r="D10" s="18">
        <f>IF(B10="","",'Paramètres'!$C$9)</f>
        <v/>
      </c>
      <c r="E10" s="18">
        <f>IF(OR(B10="",D10=""),"",C10-D10)</f>
        <v/>
      </c>
      <c r="F10" s="19">
        <f>IF(OR(B10="",N(D10)=0),"",C10/D10)</f>
        <v/>
      </c>
    </row>
    <row r="11">
      <c r="B11" s="17">
        <f>IF('Paramètres'!$B$10="","",'Paramètres'!$B$10)</f>
        <v/>
      </c>
      <c r="C11" s="18">
        <f>IF(B11="","",SUMIFS(tJournal[Heures],tJournal[Membre],B11))</f>
        <v/>
      </c>
      <c r="D11" s="18">
        <f>IF(B11="","",'Paramètres'!$C$10)</f>
        <v/>
      </c>
      <c r="E11" s="18">
        <f>IF(OR(B11="",D11=""),"",C11-D11)</f>
        <v/>
      </c>
      <c r="F11" s="19">
        <f>IF(OR(B11="",N(D11)=0),"",C11/D11)</f>
        <v/>
      </c>
    </row>
    <row r="12">
      <c r="B12" s="17">
        <f>IF('Paramètres'!$B$11="","",'Paramètres'!$B$11)</f>
        <v/>
      </c>
      <c r="C12" s="18">
        <f>IF(B12="","",SUMIFS(tJournal[Heures],tJournal[Membre],B12))</f>
        <v/>
      </c>
      <c r="D12" s="18">
        <f>IF(B12="","",'Paramètres'!$C$11)</f>
        <v/>
      </c>
      <c r="E12" s="18">
        <f>IF(OR(B12="",D12=""),"",C12-D12)</f>
        <v/>
      </c>
      <c r="F12" s="19">
        <f>IF(OR(B12="",N(D12)=0),"",C12/D12)</f>
        <v/>
      </c>
    </row>
    <row r="13">
      <c r="B13" s="17">
        <f>IF('Paramètres'!$B$12="","",'Paramètres'!$B$12)</f>
        <v/>
      </c>
      <c r="C13" s="18">
        <f>IF(B13="","",SUMIFS(tJournal[Heures],tJournal[Membre],B13))</f>
        <v/>
      </c>
      <c r="D13" s="18">
        <f>IF(B13="","",'Paramètres'!$C$12)</f>
        <v/>
      </c>
      <c r="E13" s="18">
        <f>IF(OR(B13="",D13=""),"",C13-D13)</f>
        <v/>
      </c>
      <c r="F13" s="19">
        <f>IF(OR(B13="",N(D13)=0),"",C13/D13)</f>
        <v/>
      </c>
    </row>
    <row r="14">
      <c r="B14" s="17">
        <f>IF('Paramètres'!$B$13="","",'Paramètres'!$B$13)</f>
        <v/>
      </c>
      <c r="C14" s="18">
        <f>IF(B14="","",SUMIFS(tJournal[Heures],tJournal[Membre],B14))</f>
        <v/>
      </c>
      <c r="D14" s="18">
        <f>IF(B14="","",'Paramètres'!$C$13)</f>
        <v/>
      </c>
      <c r="E14" s="18">
        <f>IF(OR(B14="",D14=""),"",C14-D14)</f>
        <v/>
      </c>
      <c r="F14" s="19">
        <f>IF(OR(B14="",N(D14)=0),"",C14/D14)</f>
        <v/>
      </c>
    </row>
    <row r="15">
      <c r="B15" s="17">
        <f>IF('Paramètres'!$B$14="","",'Paramètres'!$B$14)</f>
        <v/>
      </c>
      <c r="C15" s="18">
        <f>IF(B15="","",SUMIFS(tJournal[Heures],tJournal[Membre],B15))</f>
        <v/>
      </c>
      <c r="D15" s="18">
        <f>IF(B15="","",'Paramètres'!$C$14)</f>
        <v/>
      </c>
      <c r="E15" s="18">
        <f>IF(OR(B15="",D15=""),"",C15-D15)</f>
        <v/>
      </c>
      <c r="F15" s="19">
        <f>IF(OR(B15="",N(D15)=0),"",C15/D15)</f>
        <v/>
      </c>
    </row>
    <row r="17" ht="22" customHeight="1">
      <c r="B17" s="3" t="inlineStr">
        <is>
          <t>Par catégorie</t>
        </is>
      </c>
    </row>
    <row r="18" ht="20" customHeight="1">
      <c r="B18" s="10" t="inlineStr">
        <is>
          <t>Catégorie</t>
        </is>
      </c>
      <c r="C18" s="11" t="inlineStr">
        <is>
          <t>Heures</t>
        </is>
      </c>
      <c r="D18" s="11" t="inlineStr">
        <is>
          <t>Part</t>
        </is>
      </c>
    </row>
    <row r="19">
      <c r="B19" s="17">
        <f>IF('Paramètres'!$E$7="","",'Paramètres'!$E$7)</f>
        <v/>
      </c>
      <c r="C19" s="18">
        <f>IF(B19="","",SUMIFS(tJournal[Heures],tJournal[Catégorie],B19))</f>
        <v/>
      </c>
      <c r="D19" s="19">
        <f>IF(OR(B19="",$C$4=0),"",C19/$C$4)</f>
        <v/>
      </c>
    </row>
    <row r="20">
      <c r="B20" s="17">
        <f>IF('Paramètres'!$E$8="","",'Paramètres'!$E$8)</f>
        <v/>
      </c>
      <c r="C20" s="18">
        <f>IF(B20="","",SUMIFS(tJournal[Heures],tJournal[Catégorie],B20))</f>
        <v/>
      </c>
      <c r="D20" s="19">
        <f>IF(OR(B20="",$C$4=0),"",C20/$C$4)</f>
        <v/>
      </c>
    </row>
    <row r="21">
      <c r="B21" s="17">
        <f>IF('Paramètres'!$E$9="","",'Paramètres'!$E$9)</f>
        <v/>
      </c>
      <c r="C21" s="18">
        <f>IF(B21="","",SUMIFS(tJournal[Heures],tJournal[Catégorie],B21))</f>
        <v/>
      </c>
      <c r="D21" s="19">
        <f>IF(OR(B21="",$C$4=0),"",C21/$C$4)</f>
        <v/>
      </c>
    </row>
    <row r="22">
      <c r="B22" s="17">
        <f>IF('Paramètres'!$E$10="","",'Paramètres'!$E$10)</f>
        <v/>
      </c>
      <c r="C22" s="18">
        <f>IF(B22="","",SUMIFS(tJournal[Heures],tJournal[Catégorie],B22))</f>
        <v/>
      </c>
      <c r="D22" s="19">
        <f>IF(OR(B22="",$C$4=0),"",C22/$C$4)</f>
        <v/>
      </c>
    </row>
    <row r="23">
      <c r="B23" s="17">
        <f>IF('Paramètres'!$E$11="","",'Paramètres'!$E$11)</f>
        <v/>
      </c>
      <c r="C23" s="18">
        <f>IF(B23="","",SUMIFS(tJournal[Heures],tJournal[Catégorie],B23))</f>
        <v/>
      </c>
      <c r="D23" s="19">
        <f>IF(OR(B23="",$C$4=0),"",C23/$C$4)</f>
        <v/>
      </c>
    </row>
    <row r="24">
      <c r="B24" s="17">
        <f>IF('Paramètres'!$E$12="","",'Paramètres'!$E$12)</f>
        <v/>
      </c>
      <c r="C24" s="18">
        <f>IF(B24="","",SUMIFS(tJournal[Heures],tJournal[Catégorie],B24))</f>
        <v/>
      </c>
      <c r="D24" s="19">
        <f>IF(OR(B24="",$C$4=0),"",C24/$C$4)</f>
        <v/>
      </c>
    </row>
    <row r="25">
      <c r="B25" s="17">
        <f>IF('Paramètres'!$E$13="","",'Paramètres'!$E$13)</f>
        <v/>
      </c>
      <c r="C25" s="18">
        <f>IF(B25="","",SUMIFS(tJournal[Heures],tJournal[Catégorie],B25))</f>
        <v/>
      </c>
      <c r="D25" s="19">
        <f>IF(OR(B25="",$C$4=0),"",C25/$C$4)</f>
        <v/>
      </c>
    </row>
    <row r="26">
      <c r="B26" s="17">
        <f>IF('Paramètres'!$E$14="","",'Paramètres'!$E$14)</f>
        <v/>
      </c>
      <c r="C26" s="18">
        <f>IF(B26="","",SUMIFS(tJournal[Heures],tJournal[Catégorie],B26))</f>
        <v/>
      </c>
      <c r="D26" s="19">
        <f>IF(OR(B26="",$C$4=0),"",C26/$C$4)</f>
        <v/>
      </c>
    </row>
    <row r="27">
      <c r="B27" s="17">
        <f>IF('Paramètres'!$E$15="","",'Paramètres'!$E$15)</f>
        <v/>
      </c>
      <c r="C27" s="18">
        <f>IF(B27="","",SUMIFS(tJournal[Heures],tJournal[Catégorie],B27))</f>
        <v/>
      </c>
      <c r="D27" s="19">
        <f>IF(OR(B27="",$C$4=0),"",C27/$C$4)</f>
        <v/>
      </c>
    </row>
    <row r="28">
      <c r="B28" s="17">
        <f>IF('Paramètres'!$E$16="","",'Paramètres'!$E$16)</f>
        <v/>
      </c>
      <c r="C28" s="18">
        <f>IF(B28="","",SUMIFS(tJournal[Heures],tJournal[Catégorie],B28))</f>
        <v/>
      </c>
      <c r="D28" s="19">
        <f>IF(OR(B28="",$C$4=0),"",C28/$C$4)</f>
        <v/>
      </c>
    </row>
    <row r="31" ht="22" customHeight="1">
      <c r="B31" s="3" t="inlineStr">
        <is>
          <t>Par semaine</t>
        </is>
      </c>
    </row>
    <row r="32" ht="20" customHeight="1">
      <c r="B32" s="10" t="inlineStr">
        <is>
          <t>Semaine du</t>
        </is>
      </c>
      <c r="C32" s="11" t="inlineStr">
        <is>
          <t>N°</t>
        </is>
      </c>
      <c r="D32" s="20">
        <f>IF(B8="","",B8)</f>
        <v/>
      </c>
      <c r="E32" s="20">
        <f>IF(B9="","",B9)</f>
        <v/>
      </c>
      <c r="F32" s="20">
        <f>IF(B10="","",B10)</f>
        <v/>
      </c>
      <c r="G32" s="20">
        <f>IF(B11="","",B11)</f>
        <v/>
      </c>
      <c r="H32" s="20">
        <f>IF(B12="","",B12)</f>
        <v/>
      </c>
      <c r="I32" s="21" t="inlineStr">
        <is>
          <t>Total</t>
        </is>
      </c>
    </row>
    <row r="33">
      <c r="B33" s="22">
        <f>'Paramètres'!$C$4-WEEKDAY('Paramètres'!$C$4,3)</f>
        <v/>
      </c>
      <c r="C33" s="15">
        <f>WEEKNUM(B33,21)</f>
        <v/>
      </c>
      <c r="D33" s="18">
        <f>IF(D$32="","",SUMIFS(tJournal[Heures],tJournal[Membre],D$32,tJournal[Date],"&gt;="&amp;$B33,tJournal[Date],"&lt;"&amp;$B33+7))</f>
        <v/>
      </c>
      <c r="E33" s="18">
        <f>IF(E$32="","",SUMIFS(tJournal[Heures],tJournal[Membre],E$32,tJournal[Date],"&gt;="&amp;$B33,tJournal[Date],"&lt;"&amp;$B33+7))</f>
        <v/>
      </c>
      <c r="F33" s="18">
        <f>IF(F$32="","",SUMIFS(tJournal[Heures],tJournal[Membre],F$32,tJournal[Date],"&gt;="&amp;$B33,tJournal[Date],"&lt;"&amp;$B33+7))</f>
        <v/>
      </c>
      <c r="G33" s="18">
        <f>IF(G$32="","",SUMIFS(tJournal[Heures],tJournal[Membre],G$32,tJournal[Date],"&gt;="&amp;$B33,tJournal[Date],"&lt;"&amp;$B33+7))</f>
        <v/>
      </c>
      <c r="H33" s="18">
        <f>IF(H$32="","",SUMIFS(tJournal[Heures],tJournal[Membre],H$32,tJournal[Date],"&gt;="&amp;$B33,tJournal[Date],"&lt;"&amp;$B33+7))</f>
        <v/>
      </c>
      <c r="I33" s="16">
        <f>SUMIFS(tJournal[Heures],tJournal[Date],"&gt;="&amp;$B33,tJournal[Date],"&lt;"&amp;$B33+7)</f>
        <v/>
      </c>
    </row>
    <row r="34">
      <c r="B34" s="22">
        <f>B33+7</f>
        <v/>
      </c>
      <c r="C34" s="15">
        <f>WEEKNUM(B34,21)</f>
        <v/>
      </c>
      <c r="D34" s="18">
        <f>IF(D$32="","",SUMIFS(tJournal[Heures],tJournal[Membre],D$32,tJournal[Date],"&gt;="&amp;$B34,tJournal[Date],"&lt;"&amp;$B34+7))</f>
        <v/>
      </c>
      <c r="E34" s="18">
        <f>IF(E$32="","",SUMIFS(tJournal[Heures],tJournal[Membre],E$32,tJournal[Date],"&gt;="&amp;$B34,tJournal[Date],"&lt;"&amp;$B34+7))</f>
        <v/>
      </c>
      <c r="F34" s="18">
        <f>IF(F$32="","",SUMIFS(tJournal[Heures],tJournal[Membre],F$32,tJournal[Date],"&gt;="&amp;$B34,tJournal[Date],"&lt;"&amp;$B34+7))</f>
        <v/>
      </c>
      <c r="G34" s="18">
        <f>IF(G$32="","",SUMIFS(tJournal[Heures],tJournal[Membre],G$32,tJournal[Date],"&gt;="&amp;$B34,tJournal[Date],"&lt;"&amp;$B34+7))</f>
        <v/>
      </c>
      <c r="H34" s="18">
        <f>IF(H$32="","",SUMIFS(tJournal[Heures],tJournal[Membre],H$32,tJournal[Date],"&gt;="&amp;$B34,tJournal[Date],"&lt;"&amp;$B34+7))</f>
        <v/>
      </c>
      <c r="I34" s="16">
        <f>SUMIFS(tJournal[Heures],tJournal[Date],"&gt;="&amp;$B34,tJournal[Date],"&lt;"&amp;$B34+7)</f>
        <v/>
      </c>
    </row>
    <row r="35">
      <c r="B35" s="22">
        <f>B34+7</f>
        <v/>
      </c>
      <c r="C35" s="15">
        <f>WEEKNUM(B35,21)</f>
        <v/>
      </c>
      <c r="D35" s="18">
        <f>IF(D$32="","",SUMIFS(tJournal[Heures],tJournal[Membre],D$32,tJournal[Date],"&gt;="&amp;$B35,tJournal[Date],"&lt;"&amp;$B35+7))</f>
        <v/>
      </c>
      <c r="E35" s="18">
        <f>IF(E$32="","",SUMIFS(tJournal[Heures],tJournal[Membre],E$32,tJournal[Date],"&gt;="&amp;$B35,tJournal[Date],"&lt;"&amp;$B35+7))</f>
        <v/>
      </c>
      <c r="F35" s="18">
        <f>IF(F$32="","",SUMIFS(tJournal[Heures],tJournal[Membre],F$32,tJournal[Date],"&gt;="&amp;$B35,tJournal[Date],"&lt;"&amp;$B35+7))</f>
        <v/>
      </c>
      <c r="G35" s="18">
        <f>IF(G$32="","",SUMIFS(tJournal[Heures],tJournal[Membre],G$32,tJournal[Date],"&gt;="&amp;$B35,tJournal[Date],"&lt;"&amp;$B35+7))</f>
        <v/>
      </c>
      <c r="H35" s="18">
        <f>IF(H$32="","",SUMIFS(tJournal[Heures],tJournal[Membre],H$32,tJournal[Date],"&gt;="&amp;$B35,tJournal[Date],"&lt;"&amp;$B35+7))</f>
        <v/>
      </c>
      <c r="I35" s="16">
        <f>SUMIFS(tJournal[Heures],tJournal[Date],"&gt;="&amp;$B35,tJournal[Date],"&lt;"&amp;$B35+7)</f>
        <v/>
      </c>
    </row>
    <row r="36">
      <c r="B36" s="22">
        <f>B35+7</f>
        <v/>
      </c>
      <c r="C36" s="15">
        <f>WEEKNUM(B36,21)</f>
        <v/>
      </c>
      <c r="D36" s="18">
        <f>IF(D$32="","",SUMIFS(tJournal[Heures],tJournal[Membre],D$32,tJournal[Date],"&gt;="&amp;$B36,tJournal[Date],"&lt;"&amp;$B36+7))</f>
        <v/>
      </c>
      <c r="E36" s="18">
        <f>IF(E$32="","",SUMIFS(tJournal[Heures],tJournal[Membre],E$32,tJournal[Date],"&gt;="&amp;$B36,tJournal[Date],"&lt;"&amp;$B36+7))</f>
        <v/>
      </c>
      <c r="F36" s="18">
        <f>IF(F$32="","",SUMIFS(tJournal[Heures],tJournal[Membre],F$32,tJournal[Date],"&gt;="&amp;$B36,tJournal[Date],"&lt;"&amp;$B36+7))</f>
        <v/>
      </c>
      <c r="G36" s="18">
        <f>IF(G$32="","",SUMIFS(tJournal[Heures],tJournal[Membre],G$32,tJournal[Date],"&gt;="&amp;$B36,tJournal[Date],"&lt;"&amp;$B36+7))</f>
        <v/>
      </c>
      <c r="H36" s="18">
        <f>IF(H$32="","",SUMIFS(tJournal[Heures],tJournal[Membre],H$32,tJournal[Date],"&gt;="&amp;$B36,tJournal[Date],"&lt;"&amp;$B36+7))</f>
        <v/>
      </c>
      <c r="I36" s="16">
        <f>SUMIFS(tJournal[Heures],tJournal[Date],"&gt;="&amp;$B36,tJournal[Date],"&lt;"&amp;$B36+7)</f>
        <v/>
      </c>
    </row>
    <row r="37">
      <c r="B37" s="22">
        <f>B36+7</f>
        <v/>
      </c>
      <c r="C37" s="15">
        <f>WEEKNUM(B37,21)</f>
        <v/>
      </c>
      <c r="D37" s="18">
        <f>IF(D$32="","",SUMIFS(tJournal[Heures],tJournal[Membre],D$32,tJournal[Date],"&gt;="&amp;$B37,tJournal[Date],"&lt;"&amp;$B37+7))</f>
        <v/>
      </c>
      <c r="E37" s="18">
        <f>IF(E$32="","",SUMIFS(tJournal[Heures],tJournal[Membre],E$32,tJournal[Date],"&gt;="&amp;$B37,tJournal[Date],"&lt;"&amp;$B37+7))</f>
        <v/>
      </c>
      <c r="F37" s="18">
        <f>IF(F$32="","",SUMIFS(tJournal[Heures],tJournal[Membre],F$32,tJournal[Date],"&gt;="&amp;$B37,tJournal[Date],"&lt;"&amp;$B37+7))</f>
        <v/>
      </c>
      <c r="G37" s="18">
        <f>IF(G$32="","",SUMIFS(tJournal[Heures],tJournal[Membre],G$32,tJournal[Date],"&gt;="&amp;$B37,tJournal[Date],"&lt;"&amp;$B37+7))</f>
        <v/>
      </c>
      <c r="H37" s="18">
        <f>IF(H$32="","",SUMIFS(tJournal[Heures],tJournal[Membre],H$32,tJournal[Date],"&gt;="&amp;$B37,tJournal[Date],"&lt;"&amp;$B37+7))</f>
        <v/>
      </c>
      <c r="I37" s="16">
        <f>SUMIFS(tJournal[Heures],tJournal[Date],"&gt;="&amp;$B37,tJournal[Date],"&lt;"&amp;$B37+7)</f>
        <v/>
      </c>
    </row>
    <row r="38">
      <c r="B38" s="22">
        <f>B37+7</f>
        <v/>
      </c>
      <c r="C38" s="15">
        <f>WEEKNUM(B38,21)</f>
        <v/>
      </c>
      <c r="D38" s="18">
        <f>IF(D$32="","",SUMIFS(tJournal[Heures],tJournal[Membre],D$32,tJournal[Date],"&gt;="&amp;$B38,tJournal[Date],"&lt;"&amp;$B38+7))</f>
        <v/>
      </c>
      <c r="E38" s="18">
        <f>IF(E$32="","",SUMIFS(tJournal[Heures],tJournal[Membre],E$32,tJournal[Date],"&gt;="&amp;$B38,tJournal[Date],"&lt;"&amp;$B38+7))</f>
        <v/>
      </c>
      <c r="F38" s="18">
        <f>IF(F$32="","",SUMIFS(tJournal[Heures],tJournal[Membre],F$32,tJournal[Date],"&gt;="&amp;$B38,tJournal[Date],"&lt;"&amp;$B38+7))</f>
        <v/>
      </c>
      <c r="G38" s="18">
        <f>IF(G$32="","",SUMIFS(tJournal[Heures],tJournal[Membre],G$32,tJournal[Date],"&gt;="&amp;$B38,tJournal[Date],"&lt;"&amp;$B38+7))</f>
        <v/>
      </c>
      <c r="H38" s="18">
        <f>IF(H$32="","",SUMIFS(tJournal[Heures],tJournal[Membre],H$32,tJournal[Date],"&gt;="&amp;$B38,tJournal[Date],"&lt;"&amp;$B38+7))</f>
        <v/>
      </c>
      <c r="I38" s="16">
        <f>SUMIFS(tJournal[Heures],tJournal[Date],"&gt;="&amp;$B38,tJournal[Date],"&lt;"&amp;$B38+7)</f>
        <v/>
      </c>
    </row>
    <row r="39">
      <c r="B39" s="22">
        <f>B38+7</f>
        <v/>
      </c>
      <c r="C39" s="15">
        <f>WEEKNUM(B39,21)</f>
        <v/>
      </c>
      <c r="D39" s="18">
        <f>IF(D$32="","",SUMIFS(tJournal[Heures],tJournal[Membre],D$32,tJournal[Date],"&gt;="&amp;$B39,tJournal[Date],"&lt;"&amp;$B39+7))</f>
        <v/>
      </c>
      <c r="E39" s="18">
        <f>IF(E$32="","",SUMIFS(tJournal[Heures],tJournal[Membre],E$32,tJournal[Date],"&gt;="&amp;$B39,tJournal[Date],"&lt;"&amp;$B39+7))</f>
        <v/>
      </c>
      <c r="F39" s="18">
        <f>IF(F$32="","",SUMIFS(tJournal[Heures],tJournal[Membre],F$32,tJournal[Date],"&gt;="&amp;$B39,tJournal[Date],"&lt;"&amp;$B39+7))</f>
        <v/>
      </c>
      <c r="G39" s="18">
        <f>IF(G$32="","",SUMIFS(tJournal[Heures],tJournal[Membre],G$32,tJournal[Date],"&gt;="&amp;$B39,tJournal[Date],"&lt;"&amp;$B39+7))</f>
        <v/>
      </c>
      <c r="H39" s="18">
        <f>IF(H$32="","",SUMIFS(tJournal[Heures],tJournal[Membre],H$32,tJournal[Date],"&gt;="&amp;$B39,tJournal[Date],"&lt;"&amp;$B39+7))</f>
        <v/>
      </c>
      <c r="I39" s="16">
        <f>SUMIFS(tJournal[Heures],tJournal[Date],"&gt;="&amp;$B39,tJournal[Date],"&lt;"&amp;$B39+7)</f>
        <v/>
      </c>
    </row>
    <row r="40">
      <c r="B40" s="22">
        <f>B39+7</f>
        <v/>
      </c>
      <c r="C40" s="15">
        <f>WEEKNUM(B40,21)</f>
        <v/>
      </c>
      <c r="D40" s="18">
        <f>IF(D$32="","",SUMIFS(tJournal[Heures],tJournal[Membre],D$32,tJournal[Date],"&gt;="&amp;$B40,tJournal[Date],"&lt;"&amp;$B40+7))</f>
        <v/>
      </c>
      <c r="E40" s="18">
        <f>IF(E$32="","",SUMIFS(tJournal[Heures],tJournal[Membre],E$32,tJournal[Date],"&gt;="&amp;$B40,tJournal[Date],"&lt;"&amp;$B40+7))</f>
        <v/>
      </c>
      <c r="F40" s="18">
        <f>IF(F$32="","",SUMIFS(tJournal[Heures],tJournal[Membre],F$32,tJournal[Date],"&gt;="&amp;$B40,tJournal[Date],"&lt;"&amp;$B40+7))</f>
        <v/>
      </c>
      <c r="G40" s="18">
        <f>IF(G$32="","",SUMIFS(tJournal[Heures],tJournal[Membre],G$32,tJournal[Date],"&gt;="&amp;$B40,tJournal[Date],"&lt;"&amp;$B40+7))</f>
        <v/>
      </c>
      <c r="H40" s="18">
        <f>IF(H$32="","",SUMIFS(tJournal[Heures],tJournal[Membre],H$32,tJournal[Date],"&gt;="&amp;$B40,tJournal[Date],"&lt;"&amp;$B40+7))</f>
        <v/>
      </c>
      <c r="I40" s="16">
        <f>SUMIFS(tJournal[Heures],tJournal[Date],"&gt;="&amp;$B40,tJournal[Date],"&lt;"&amp;$B40+7)</f>
        <v/>
      </c>
    </row>
    <row r="41">
      <c r="B41" s="22">
        <f>B40+7</f>
        <v/>
      </c>
      <c r="C41" s="15">
        <f>WEEKNUM(B41,21)</f>
        <v/>
      </c>
      <c r="D41" s="18">
        <f>IF(D$32="","",SUMIFS(tJournal[Heures],tJournal[Membre],D$32,tJournal[Date],"&gt;="&amp;$B41,tJournal[Date],"&lt;"&amp;$B41+7))</f>
        <v/>
      </c>
      <c r="E41" s="18">
        <f>IF(E$32="","",SUMIFS(tJournal[Heures],tJournal[Membre],E$32,tJournal[Date],"&gt;="&amp;$B41,tJournal[Date],"&lt;"&amp;$B41+7))</f>
        <v/>
      </c>
      <c r="F41" s="18">
        <f>IF(F$32="","",SUMIFS(tJournal[Heures],tJournal[Membre],F$32,tJournal[Date],"&gt;="&amp;$B41,tJournal[Date],"&lt;"&amp;$B41+7))</f>
        <v/>
      </c>
      <c r="G41" s="18">
        <f>IF(G$32="","",SUMIFS(tJournal[Heures],tJournal[Membre],G$32,tJournal[Date],"&gt;="&amp;$B41,tJournal[Date],"&lt;"&amp;$B41+7))</f>
        <v/>
      </c>
      <c r="H41" s="18">
        <f>IF(H$32="","",SUMIFS(tJournal[Heures],tJournal[Membre],H$32,tJournal[Date],"&gt;="&amp;$B41,tJournal[Date],"&lt;"&amp;$B41+7))</f>
        <v/>
      </c>
      <c r="I41" s="16">
        <f>SUMIFS(tJournal[Heures],tJournal[Date],"&gt;="&amp;$B41,tJournal[Date],"&lt;"&amp;$B41+7)</f>
        <v/>
      </c>
    </row>
    <row r="42">
      <c r="B42" s="22">
        <f>B41+7</f>
        <v/>
      </c>
      <c r="C42" s="15">
        <f>WEEKNUM(B42,21)</f>
        <v/>
      </c>
      <c r="D42" s="18">
        <f>IF(D$32="","",SUMIFS(tJournal[Heures],tJournal[Membre],D$32,tJournal[Date],"&gt;="&amp;$B42,tJournal[Date],"&lt;"&amp;$B42+7))</f>
        <v/>
      </c>
      <c r="E42" s="18">
        <f>IF(E$32="","",SUMIFS(tJournal[Heures],tJournal[Membre],E$32,tJournal[Date],"&gt;="&amp;$B42,tJournal[Date],"&lt;"&amp;$B42+7))</f>
        <v/>
      </c>
      <c r="F42" s="18">
        <f>IF(F$32="","",SUMIFS(tJournal[Heures],tJournal[Membre],F$32,tJournal[Date],"&gt;="&amp;$B42,tJournal[Date],"&lt;"&amp;$B42+7))</f>
        <v/>
      </c>
      <c r="G42" s="18">
        <f>IF(G$32="","",SUMIFS(tJournal[Heures],tJournal[Membre],G$32,tJournal[Date],"&gt;="&amp;$B42,tJournal[Date],"&lt;"&amp;$B42+7))</f>
        <v/>
      </c>
      <c r="H42" s="18">
        <f>IF(H$32="","",SUMIFS(tJournal[Heures],tJournal[Membre],H$32,tJournal[Date],"&gt;="&amp;$B42,tJournal[Date],"&lt;"&amp;$B42+7))</f>
        <v/>
      </c>
      <c r="I42" s="16">
        <f>SUMIFS(tJournal[Heures],tJournal[Date],"&gt;="&amp;$B42,tJournal[Date],"&lt;"&amp;$B42+7)</f>
        <v/>
      </c>
    </row>
    <row r="43">
      <c r="B43" s="22">
        <f>B42+7</f>
        <v/>
      </c>
      <c r="C43" s="15">
        <f>WEEKNUM(B43,21)</f>
        <v/>
      </c>
      <c r="D43" s="18">
        <f>IF(D$32="","",SUMIFS(tJournal[Heures],tJournal[Membre],D$32,tJournal[Date],"&gt;="&amp;$B43,tJournal[Date],"&lt;"&amp;$B43+7))</f>
        <v/>
      </c>
      <c r="E43" s="18">
        <f>IF(E$32="","",SUMIFS(tJournal[Heures],tJournal[Membre],E$32,tJournal[Date],"&gt;="&amp;$B43,tJournal[Date],"&lt;"&amp;$B43+7))</f>
        <v/>
      </c>
      <c r="F43" s="18">
        <f>IF(F$32="","",SUMIFS(tJournal[Heures],tJournal[Membre],F$32,tJournal[Date],"&gt;="&amp;$B43,tJournal[Date],"&lt;"&amp;$B43+7))</f>
        <v/>
      </c>
      <c r="G43" s="18">
        <f>IF(G$32="","",SUMIFS(tJournal[Heures],tJournal[Membre],G$32,tJournal[Date],"&gt;="&amp;$B43,tJournal[Date],"&lt;"&amp;$B43+7))</f>
        <v/>
      </c>
      <c r="H43" s="18">
        <f>IF(H$32="","",SUMIFS(tJournal[Heures],tJournal[Membre],H$32,tJournal[Date],"&gt;="&amp;$B43,tJournal[Date],"&lt;"&amp;$B43+7))</f>
        <v/>
      </c>
      <c r="I43" s="16">
        <f>SUMIFS(tJournal[Heures],tJournal[Date],"&gt;="&amp;$B43,tJournal[Date],"&lt;"&amp;$B43+7)</f>
        <v/>
      </c>
    </row>
    <row r="44">
      <c r="B44" s="22">
        <f>B43+7</f>
        <v/>
      </c>
      <c r="C44" s="15">
        <f>WEEKNUM(B44,21)</f>
        <v/>
      </c>
      <c r="D44" s="18">
        <f>IF(D$32="","",SUMIFS(tJournal[Heures],tJournal[Membre],D$32,tJournal[Date],"&gt;="&amp;$B44,tJournal[Date],"&lt;"&amp;$B44+7))</f>
        <v/>
      </c>
      <c r="E44" s="18">
        <f>IF(E$32="","",SUMIFS(tJournal[Heures],tJournal[Membre],E$32,tJournal[Date],"&gt;="&amp;$B44,tJournal[Date],"&lt;"&amp;$B44+7))</f>
        <v/>
      </c>
      <c r="F44" s="18">
        <f>IF(F$32="","",SUMIFS(tJournal[Heures],tJournal[Membre],F$32,tJournal[Date],"&gt;="&amp;$B44,tJournal[Date],"&lt;"&amp;$B44+7))</f>
        <v/>
      </c>
      <c r="G44" s="18">
        <f>IF(G$32="","",SUMIFS(tJournal[Heures],tJournal[Membre],G$32,tJournal[Date],"&gt;="&amp;$B44,tJournal[Date],"&lt;"&amp;$B44+7))</f>
        <v/>
      </c>
      <c r="H44" s="18">
        <f>IF(H$32="","",SUMIFS(tJournal[Heures],tJournal[Membre],H$32,tJournal[Date],"&gt;="&amp;$B44,tJournal[Date],"&lt;"&amp;$B44+7))</f>
        <v/>
      </c>
      <c r="I44" s="16">
        <f>SUMIFS(tJournal[Heures],tJournal[Date],"&gt;="&amp;$B44,tJournal[Date],"&lt;"&amp;$B44+7)</f>
        <v/>
      </c>
    </row>
    <row r="45">
      <c r="B45" s="22">
        <f>B44+7</f>
        <v/>
      </c>
      <c r="C45" s="15">
        <f>WEEKNUM(B45,21)</f>
        <v/>
      </c>
      <c r="D45" s="18">
        <f>IF(D$32="","",SUMIFS(tJournal[Heures],tJournal[Membre],D$32,tJournal[Date],"&gt;="&amp;$B45,tJournal[Date],"&lt;"&amp;$B45+7))</f>
        <v/>
      </c>
      <c r="E45" s="18">
        <f>IF(E$32="","",SUMIFS(tJournal[Heures],tJournal[Membre],E$32,tJournal[Date],"&gt;="&amp;$B45,tJournal[Date],"&lt;"&amp;$B45+7))</f>
        <v/>
      </c>
      <c r="F45" s="18">
        <f>IF(F$32="","",SUMIFS(tJournal[Heures],tJournal[Membre],F$32,tJournal[Date],"&gt;="&amp;$B45,tJournal[Date],"&lt;"&amp;$B45+7))</f>
        <v/>
      </c>
      <c r="G45" s="18">
        <f>IF(G$32="","",SUMIFS(tJournal[Heures],tJournal[Membre],G$32,tJournal[Date],"&gt;="&amp;$B45,tJournal[Date],"&lt;"&amp;$B45+7))</f>
        <v/>
      </c>
      <c r="H45" s="18">
        <f>IF(H$32="","",SUMIFS(tJournal[Heures],tJournal[Membre],H$32,tJournal[Date],"&gt;="&amp;$B45,tJournal[Date],"&lt;"&amp;$B45+7))</f>
        <v/>
      </c>
      <c r="I45" s="16">
        <f>SUMIFS(tJournal[Heures],tJournal[Date],"&gt;="&amp;$B45,tJournal[Date],"&lt;"&amp;$B45+7)</f>
        <v/>
      </c>
    </row>
    <row r="46">
      <c r="B46" s="22">
        <f>B45+7</f>
        <v/>
      </c>
      <c r="C46" s="15">
        <f>WEEKNUM(B46,21)</f>
        <v/>
      </c>
      <c r="D46" s="18">
        <f>IF(D$32="","",SUMIFS(tJournal[Heures],tJournal[Membre],D$32,tJournal[Date],"&gt;="&amp;$B46,tJournal[Date],"&lt;"&amp;$B46+7))</f>
        <v/>
      </c>
      <c r="E46" s="18">
        <f>IF(E$32="","",SUMIFS(tJournal[Heures],tJournal[Membre],E$32,tJournal[Date],"&gt;="&amp;$B46,tJournal[Date],"&lt;"&amp;$B46+7))</f>
        <v/>
      </c>
      <c r="F46" s="18">
        <f>IF(F$32="","",SUMIFS(tJournal[Heures],tJournal[Membre],F$32,tJournal[Date],"&gt;="&amp;$B46,tJournal[Date],"&lt;"&amp;$B46+7))</f>
        <v/>
      </c>
      <c r="G46" s="18">
        <f>IF(G$32="","",SUMIFS(tJournal[Heures],tJournal[Membre],G$32,tJournal[Date],"&gt;="&amp;$B46,tJournal[Date],"&lt;"&amp;$B46+7))</f>
        <v/>
      </c>
      <c r="H46" s="18">
        <f>IF(H$32="","",SUMIFS(tJournal[Heures],tJournal[Membre],H$32,tJournal[Date],"&gt;="&amp;$B46,tJournal[Date],"&lt;"&amp;$B46+7))</f>
        <v/>
      </c>
      <c r="I46" s="16">
        <f>SUMIFS(tJournal[Heures],tJournal[Date],"&gt;="&amp;$B46,tJournal[Date],"&lt;"&amp;$B46+7)</f>
        <v/>
      </c>
    </row>
    <row r="47">
      <c r="B47" s="22">
        <f>B46+7</f>
        <v/>
      </c>
      <c r="C47" s="15">
        <f>WEEKNUM(B47,21)</f>
        <v/>
      </c>
      <c r="D47" s="18">
        <f>IF(D$32="","",SUMIFS(tJournal[Heures],tJournal[Membre],D$32,tJournal[Date],"&gt;="&amp;$B47,tJournal[Date],"&lt;"&amp;$B47+7))</f>
        <v/>
      </c>
      <c r="E47" s="18">
        <f>IF(E$32="","",SUMIFS(tJournal[Heures],tJournal[Membre],E$32,tJournal[Date],"&gt;="&amp;$B47,tJournal[Date],"&lt;"&amp;$B47+7))</f>
        <v/>
      </c>
      <c r="F47" s="18">
        <f>IF(F$32="","",SUMIFS(tJournal[Heures],tJournal[Membre],F$32,tJournal[Date],"&gt;="&amp;$B47,tJournal[Date],"&lt;"&amp;$B47+7))</f>
        <v/>
      </c>
      <c r="G47" s="18">
        <f>IF(G$32="","",SUMIFS(tJournal[Heures],tJournal[Membre],G$32,tJournal[Date],"&gt;="&amp;$B47,tJournal[Date],"&lt;"&amp;$B47+7))</f>
        <v/>
      </c>
      <c r="H47" s="18">
        <f>IF(H$32="","",SUMIFS(tJournal[Heures],tJournal[Membre],H$32,tJournal[Date],"&gt;="&amp;$B47,tJournal[Date],"&lt;"&amp;$B47+7))</f>
        <v/>
      </c>
      <c r="I47" s="16">
        <f>SUMIFS(tJournal[Heures],tJournal[Date],"&gt;="&amp;$B47,tJournal[Date],"&lt;"&amp;$B47+7)</f>
        <v/>
      </c>
    </row>
    <row r="48">
      <c r="B48" s="22">
        <f>B47+7</f>
        <v/>
      </c>
      <c r="C48" s="15">
        <f>WEEKNUM(B48,21)</f>
        <v/>
      </c>
      <c r="D48" s="18">
        <f>IF(D$32="","",SUMIFS(tJournal[Heures],tJournal[Membre],D$32,tJournal[Date],"&gt;="&amp;$B48,tJournal[Date],"&lt;"&amp;$B48+7))</f>
        <v/>
      </c>
      <c r="E48" s="18">
        <f>IF(E$32="","",SUMIFS(tJournal[Heures],tJournal[Membre],E$32,tJournal[Date],"&gt;="&amp;$B48,tJournal[Date],"&lt;"&amp;$B48+7))</f>
        <v/>
      </c>
      <c r="F48" s="18">
        <f>IF(F$32="","",SUMIFS(tJournal[Heures],tJournal[Membre],F$32,tJournal[Date],"&gt;="&amp;$B48,tJournal[Date],"&lt;"&amp;$B48+7))</f>
        <v/>
      </c>
      <c r="G48" s="18">
        <f>IF(G$32="","",SUMIFS(tJournal[Heures],tJournal[Membre],G$32,tJournal[Date],"&gt;="&amp;$B48,tJournal[Date],"&lt;"&amp;$B48+7))</f>
        <v/>
      </c>
      <c r="H48" s="18">
        <f>IF(H$32="","",SUMIFS(tJournal[Heures],tJournal[Membre],H$32,tJournal[Date],"&gt;="&amp;$B48,tJournal[Date],"&lt;"&amp;$B48+7))</f>
        <v/>
      </c>
      <c r="I48" s="16">
        <f>SUMIFS(tJournal[Heures],tJournal[Date],"&gt;="&amp;$B48,tJournal[Date],"&lt;"&amp;$B48+7)</f>
        <v/>
      </c>
    </row>
  </sheetData>
  <conditionalFormatting sqref="F8:F15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16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Membres, heures prévues et catégories.</t>
        </is>
      </c>
    </row>
    <row r="4">
      <c r="B4" s="2" t="inlineStr">
        <is>
          <t>Début du projet</t>
        </is>
      </c>
      <c r="C4" s="23" t="n">
        <v>46279</v>
      </c>
    </row>
    <row r="6" ht="20" customHeight="1">
      <c r="B6" s="10" t="inlineStr">
        <is>
          <t>Membre</t>
        </is>
      </c>
      <c r="C6" s="11" t="inlineStr">
        <is>
          <t>Heures prévues</t>
        </is>
      </c>
      <c r="E6" s="10" t="inlineStr">
        <is>
          <t>Catégories</t>
        </is>
      </c>
    </row>
    <row r="7">
      <c r="B7" s="24" t="inlineStr">
        <is>
          <t>Alex</t>
        </is>
      </c>
      <c r="C7" s="25" t="n">
        <v>90</v>
      </c>
      <c r="E7" s="24" t="inlineStr">
        <is>
          <t>Analyse</t>
        </is>
      </c>
    </row>
    <row r="8">
      <c r="B8" s="24" t="inlineStr">
        <is>
          <t>Sam</t>
        </is>
      </c>
      <c r="C8" s="25" t="n">
        <v>90</v>
      </c>
      <c r="E8" s="24" t="inlineStr">
        <is>
          <t>Conception</t>
        </is>
      </c>
    </row>
    <row r="9">
      <c r="B9" s="24" t="inlineStr">
        <is>
          <t>Noa</t>
        </is>
      </c>
      <c r="C9" s="25" t="n">
        <v>90</v>
      </c>
      <c r="E9" s="24" t="inlineStr">
        <is>
          <t>Développement</t>
        </is>
      </c>
    </row>
    <row r="10">
      <c r="B10" s="24" t="n"/>
      <c r="C10" s="25" t="n"/>
      <c r="E10" s="24" t="inlineStr">
        <is>
          <t>Tests</t>
        </is>
      </c>
    </row>
    <row r="11">
      <c r="B11" s="24" t="n"/>
      <c r="C11" s="25" t="n"/>
      <c r="E11" s="24" t="inlineStr">
        <is>
          <t>Documentation</t>
        </is>
      </c>
    </row>
    <row r="12">
      <c r="B12" s="24" t="n"/>
      <c r="C12" s="25" t="n"/>
      <c r="E12" s="24" t="inlineStr">
        <is>
          <t>Réunion</t>
        </is>
      </c>
    </row>
    <row r="13">
      <c r="B13" s="24" t="n"/>
      <c r="C13" s="25" t="n"/>
      <c r="E13" s="24" t="inlineStr">
        <is>
          <t>Gestion de projet</t>
        </is>
      </c>
    </row>
    <row r="14">
      <c r="B14" s="24" t="n"/>
      <c r="C14" s="25" t="n"/>
      <c r="E14" s="24" t="inlineStr">
        <is>
          <t>Présentation</t>
        </is>
      </c>
    </row>
    <row r="15">
      <c r="E15" s="24" t="n"/>
    </row>
    <row r="16">
      <c r="E16" s="24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2026-10-12T22:09:01Z</dcterms:created>
  <dcterms:modified xmlns:dcterms="http://purl.org/dc/terms/" xmlns:xsi="http://www.w3.org/2001/XMLSchema-instance" xsi:type="dcterms:W3CDTF">2026-10-12T22:09:02Z</dcterms:modified>
</cp:coreProperties>
</file>