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Lisez-moi" sheetId="1" state="visible" r:id="rId1"/>
    <sheet xmlns:r="http://schemas.openxmlformats.org/officeDocument/2006/relationships" name="Planning" sheetId="2" state="visible" r:id="rId2"/>
    <sheet xmlns:r="http://schemas.openxmlformats.org/officeDocument/2006/relationships" name="Équipe" sheetId="3" state="visible" r:id="rId3"/>
  </sheets>
  <definedNames>
    <definedName name="lstTeam">'Équipe'!$B$6:$B$13</definedName>
    <definedName name="_xlnm.Print_Titles" localSheetId="1">'Planning'!$6:$6</definedName>
  </definedNames>
  <calcPr calcId="124519" fullCalcOnLoad="1"/>
</workbook>
</file>

<file path=xl/styles.xml><?xml version="1.0" encoding="utf-8"?>
<styleSheet xmlns="http://schemas.openxmlformats.org/spreadsheetml/2006/main">
  <numFmts count="5">
    <numFmt numFmtId="164" formatCode="yyyy-mm-dd"/>
    <numFmt numFmtId="165" formatCode="dd.mm.yyyy"/>
    <numFmt numFmtId="166" formatCode="dd.mm"/>
    <numFmt numFmtId="167" formatCode="mmm"/>
    <numFmt numFmtId="168" formatCode="#,##0;-#,##0;&quot;–&quot;"/>
  </numFmts>
  <fonts count="10">
    <font>
      <name val="Helvetica"/>
      <family val="2"/>
      <color theme="1"/>
      <sz val="10"/>
      <scheme val="minor"/>
    </font>
    <font>
      <name val="Helvetica"/>
      <family val="2"/>
      <b val="1"/>
      <color theme="1"/>
      <sz val="18"/>
      <scheme val="minor"/>
    </font>
    <font>
      <name val="Helvetica"/>
      <family val="2"/>
      <color theme="3"/>
      <sz val="10"/>
      <scheme val="minor"/>
    </font>
    <font>
      <name val="Helvetica"/>
      <family val="2"/>
      <b val="1"/>
      <color theme="1"/>
      <sz val="12"/>
      <scheme val="minor"/>
    </font>
    <font>
      <name val="Helvetica"/>
      <family val="2"/>
      <b val="1"/>
      <color theme="1"/>
      <sz val="10"/>
      <scheme val="minor"/>
    </font>
    <font>
      <name val="Helvetica"/>
      <family val="2"/>
      <color theme="3"/>
      <sz val="9"/>
      <scheme val="minor"/>
    </font>
    <font>
      <name val="Helvetica"/>
      <family val="2"/>
      <color theme="3"/>
      <sz val="8"/>
      <scheme val="minor"/>
    </font>
    <font>
      <name val="Helvetica"/>
      <family val="2"/>
      <b val="1"/>
      <color theme="1"/>
      <sz val="9"/>
      <scheme val="minor"/>
    </font>
    <font>
      <name val="Helvetica"/>
      <family val="2"/>
      <b val="1"/>
      <color theme="1"/>
      <sz val="8"/>
      <scheme val="minor"/>
    </font>
    <font>
      <name val="Helvetica"/>
      <family val="2"/>
      <color theme="4"/>
      <sz val="9"/>
      <scheme val="minor"/>
    </font>
  </fonts>
  <fills count="4">
    <fill>
      <patternFill/>
    </fill>
    <fill>
      <patternFill patternType="gray125"/>
    </fill>
    <fill>
      <patternFill patternType="solid">
        <fgColor theme="4" tint="0.86"/>
        <bgColor theme="4" tint="0.86"/>
      </patternFill>
    </fill>
    <fill>
      <patternFill patternType="solid">
        <fgColor rgb="FFF2F2F7"/>
        <bgColor rgb="FFF2F2F7"/>
      </patternFill>
    </fill>
  </fills>
  <borders count="6">
    <border>
      <left/>
      <right/>
      <top/>
      <bottom/>
      <diagonal/>
    </border>
    <border>
      <left style="thin">
        <color rgb="FFC6C6C8"/>
      </left>
      <right style="thin">
        <color rgb="FFC6C6C8"/>
      </right>
      <top style="thin">
        <color rgb="FFC6C6C8"/>
      </top>
      <bottom style="thin">
        <color rgb="FFC6C6C8"/>
      </bottom>
    </border>
    <border>
      <bottom style="thin">
        <color rgb="FFAEAEB2"/>
      </bottom>
    </border>
    <border>
      <bottom style="thin">
        <color rgb="FFC6C6C8"/>
      </bottom>
    </border>
    <border>
      <left/>
      <right/>
      <top/>
      <bottom style="thin">
        <color rgb="FFC6C6C8"/>
      </bottom>
      <diagonal/>
    </border>
    <border>
      <bottom style="hair">
        <color rgb="FFE5E5EA"/>
      </bottom>
    </border>
  </borders>
  <cellStyleXfs count="1">
    <xf numFmtId="0" fontId="0" fillId="0" borderId="0"/>
  </cellStyleXfs>
  <cellXfs count="27">
    <xf numFmtId="0" fontId="0" fillId="0" borderId="0" pivotButton="0" quotePrefix="0" xfId="0"/>
    <xf numFmtId="0" fontId="1" fillId="0" borderId="0" applyAlignment="1" pivotButton="0" quotePrefix="0" xfId="0">
      <alignment vertical="bottom"/>
    </xf>
    <xf numFmtId="0" fontId="2" fillId="0" borderId="0" pivotButton="0" quotePrefix="0" xfId="0"/>
    <xf numFmtId="0" fontId="3" fillId="0" borderId="0" pivotButton="0" quotePrefix="0" xfId="0"/>
    <xf numFmtId="0" fontId="2" fillId="0" borderId="0" applyAlignment="1" pivotButton="0" quotePrefix="0" xfId="0">
      <alignment horizontal="right" vertical="top" indent="1"/>
    </xf>
    <xf numFmtId="0" fontId="0" fillId="0" borderId="0" applyAlignment="1" pivotButton="0" quotePrefix="0" xfId="0">
      <alignment vertical="top" wrapText="1"/>
    </xf>
    <xf numFmtId="0" fontId="4" fillId="2" borderId="1" pivotButton="0" quotePrefix="0" xfId="0"/>
    <xf numFmtId="0" fontId="4" fillId="0" borderId="1" pivotButton="0" quotePrefix="0" xfId="0"/>
    <xf numFmtId="0" fontId="4" fillId="3" borderId="1" pivotButton="0" quotePrefix="0" xfId="0"/>
    <xf numFmtId="0" fontId="4" fillId="0" borderId="0" pivotButton="0" quotePrefix="0" xfId="0"/>
    <xf numFmtId="0" fontId="5" fillId="0" borderId="0" pivotButton="0" quotePrefix="0" xfId="0"/>
    <xf numFmtId="0" fontId="0" fillId="2" borderId="3" pivotButton="0" quotePrefix="0" xfId="0"/>
    <xf numFmtId="165" fontId="0" fillId="2" borderId="3" pivotButton="0" quotePrefix="0" xfId="0"/>
    <xf numFmtId="165" fontId="0" fillId="3" borderId="3" pivotButton="0" quotePrefix="0" xfId="0"/>
    <xf numFmtId="0" fontId="0" fillId="0" borderId="4" pivotButton="0" quotePrefix="0" xfId="0"/>
    <xf numFmtId="167" fontId="7" fillId="0" borderId="0" applyAlignment="1" pivotButton="0" quotePrefix="0" xfId="0">
      <alignment horizontal="left"/>
    </xf>
    <xf numFmtId="166" fontId="6" fillId="0" borderId="0" applyAlignment="1" pivotButton="0" quotePrefix="0" xfId="0">
      <alignment horizontal="center" textRotation="90"/>
    </xf>
    <xf numFmtId="0" fontId="4" fillId="0" borderId="2" applyAlignment="1" pivotButton="0" quotePrefix="0" xfId="0">
      <alignment horizontal="left" vertical="bottom" wrapText="1"/>
    </xf>
    <xf numFmtId="0" fontId="4" fillId="0" borderId="2" applyAlignment="1" pivotButton="0" quotePrefix="0" xfId="0">
      <alignment horizontal="right" vertical="bottom" wrapText="1"/>
    </xf>
    <xf numFmtId="0" fontId="8" fillId="0" borderId="2" applyAlignment="1" pivotButton="0" quotePrefix="0" xfId="0">
      <alignment horizontal="center"/>
    </xf>
    <xf numFmtId="0" fontId="0" fillId="0" borderId="3" pivotButton="0" quotePrefix="0" xfId="0"/>
    <xf numFmtId="0" fontId="4" fillId="0" borderId="3" pivotButton="0" quotePrefix="0" xfId="0"/>
    <xf numFmtId="165" fontId="0" fillId="0" borderId="3" pivotButton="0" quotePrefix="0" xfId="0"/>
    <xf numFmtId="168" fontId="0" fillId="3" borderId="3" applyAlignment="1" pivotButton="0" quotePrefix="0" xfId="0">
      <alignment horizontal="right"/>
    </xf>
    <xf numFmtId="9" fontId="0" fillId="0" borderId="3" applyAlignment="1" pivotButton="0" quotePrefix="0" xfId="0">
      <alignment horizontal="right"/>
    </xf>
    <xf numFmtId="0" fontId="0" fillId="3" borderId="3" pivotButton="0" quotePrefix="0" xfId="0"/>
    <xf numFmtId="0" fontId="9" fillId="0" borderId="5" applyAlignment="1" pivotButton="0" quotePrefix="0" xfId="0">
      <alignment horizontal="center" vertical="center"/>
    </xf>
  </cellXfs>
  <cellStyles count="1">
    <cellStyle name="Normal" xfId="0" builtinId="0" hidden="0"/>
  </cellStyles>
  <dxfs count="12">
    <dxf>
      <border>
        <bottom style="thin">
          <color rgb="FFC6C6C8"/>
        </bottom>
        <horizontal style="thin">
          <color rgb="FFC6C6C8"/>
        </horizontal>
      </border>
    </dxf>
    <dxf>
      <font>
        <b val="1"/>
        <color theme="1"/>
      </font>
      <border>
        <bottom style="thin">
          <color rgb="FFAEAEB2"/>
        </bottom>
      </border>
    </dxf>
    <dxf>
      <font>
        <b val="1"/>
      </font>
      <border>
        <top style="thin">
          <color rgb="FF1D1D1F"/>
        </top>
      </border>
    </dxf>
    <dxf>
      <fill>
        <patternFill patternType="solid">
          <fgColor theme="2"/>
          <bgColor theme="2"/>
        </patternFill>
      </fill>
    </dxf>
    <dxf>
      <border>
        <left style="thin">
          <color rgb="FFC8001C"/>
        </left>
      </border>
    </dxf>
    <dxf>
      <fill>
        <patternFill patternType="solid">
          <fgColor rgb="FFAEAEB2"/>
          <bgColor rgb="FFAEAEB2"/>
        </patternFill>
      </fill>
    </dxf>
    <dxf>
      <fill>
        <patternFill patternType="solid">
          <fgColor theme="4"/>
          <bgColor theme="4"/>
        </patternFill>
      </fill>
    </dxf>
    <dxf>
      <fill>
        <patternFill patternType="solid">
          <fgColor theme="4" tint="0.86"/>
          <bgColor theme="4" tint="0.86"/>
        </patternFill>
      </fill>
    </dxf>
    <dxf>
      <font>
        <b val="1"/>
      </font>
      <fill>
        <patternFill patternType="solid">
          <fgColor rgb="FFF2F2F7"/>
          <bgColor rgb="FFF2F2F7"/>
        </patternFill>
      </fill>
    </dxf>
    <dxf>
      <font>
        <b val="1"/>
        <color rgb="FFC8001C"/>
      </font>
    </dxf>
    <dxf>
      <font>
        <color theme="4"/>
      </font>
    </dxf>
    <dxf>
      <font>
        <color rgb="FF00792C"/>
      </font>
    </dxf>
  </dxfs>
  <tableStyles count="1" defaultTableStyle="Halo" defaultPivotStyle="PivotStyleLight16">
    <tableStyle name="Halo" pivot="0" count="4">
      <tableStyleElement type="wholeTable" dxfId="0"/>
      <tableStyleElement type="headerRow" dxfId="1"/>
      <tableStyleElement type="totalRow" dxfId="2"/>
      <tableStyleElement type="firstRowStripe" dxfId="3"/>
    </tableStyle>
  </table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Halo Minuit">
  <a:themeElements>
    <a:clrScheme name="Halo Minuit">
      <a:dk1>
        <a:srgbClr val="1D1D1F"/>
      </a:dk1>
      <a:lt1>
        <a:srgbClr val="FFFFFF"/>
      </a:lt1>
      <a:dk2>
        <a:srgbClr val="6C6C70"/>
      </a:dk2>
      <a:lt2>
        <a:srgbClr val="F2F2F7"/>
      </a:lt2>
      <a:accent1>
        <a:srgbClr val="1B3A8C"/>
      </a:accent1>
      <a:accent2>
        <a:srgbClr val="FA8921"/>
      </a:accent2>
      <a:accent3>
        <a:srgbClr val="00C5B1"/>
      </a:accent3>
      <a:accent4>
        <a:srgbClr val="CFA500"/>
      </a:accent4>
      <a:accent5>
        <a:srgbClr val="CB30E0"/>
      </a:accent5>
      <a:accent6>
        <a:srgbClr val="34C759"/>
      </a:accent6>
      <a:hlink>
        <a:srgbClr val="1B3A8C"/>
      </a:hlink>
      <a:folHlink>
        <a:srgbClr val="5747E7"/>
      </a:folHlink>
    </a:clrScheme>
    <a:fontScheme name="Halo Minuit">
      <a:majorFont>
        <a:latin typeface="Helvetica"/>
        <a:ea typeface=""/>
        <a:cs typeface=""/>
      </a:majorFont>
      <a:minorFont>
        <a:latin typeface="Helvetica"/>
        <a:ea typeface=""/>
        <a:cs typeface=""/>
      </a:minorFont>
    </a:fontScheme>
    <a:fmtScheme name="Halo Minuit">
      <a:fillStyleLst>
        <a:solidFill>
          <a:schemeClr val="phClr"/>
        </a:solidFill>
        <a:solidFill>
          <a:schemeClr val="phClr">
            <a:tint val="50000"/>
          </a:schemeClr>
        </a:solidFill>
        <a:solidFill>
          <a:schemeClr val="phClr">
            <a:shade val="85000"/>
          </a:schemeClr>
        </a:soli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76200" dist="12700" dir="5400000" algn="t" rotWithShape="0">
              <a:srgbClr val="000000">
                <a:alpha val="16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solidFill>
          <a:schemeClr val="phClr">
            <a:shade val="90000"/>
          </a:schemeClr>
        </a:soli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B2:C24"/>
  <sheetViews>
    <sheetView showGridLines="0" zoomScale="110" workbookViewId="0">
      <selection activeCell="A1" sqref="A1"/>
    </sheetView>
  </sheetViews>
  <sheetFormatPr baseColWidth="8" defaultRowHeight="15"/>
  <cols>
    <col width="3" customWidth="1" min="1" max="1"/>
    <col width="26" customWidth="1" min="2" max="2"/>
    <col width="90" customWidth="1" min="3" max="3"/>
  </cols>
  <sheetData>
    <row r="2" ht="30" customHeight="1">
      <c r="B2" s="1" t="inlineStr">
        <is>
          <t>Planning de projet</t>
        </is>
      </c>
    </row>
    <row r="3" ht="18" customHeight="1">
      <c r="B3" s="2" t="inlineStr">
        <is>
          <t>Un diagramme de Gantt par semaine : les barres, l’avancement et le repère du jour se dessinent seuls.</t>
        </is>
      </c>
    </row>
    <row r="5" ht="22" customHeight="1">
      <c r="B5" s="3" t="inlineStr">
        <is>
          <t>Mode d’emploi</t>
        </is>
      </c>
    </row>
    <row r="6" ht="16" customHeight="1">
      <c r="B6" s="4" t="inlineStr">
        <is>
          <t>1.</t>
        </is>
      </c>
      <c r="C6" s="5" t="inlineStr">
        <is>
          <t>Dans « Planning », saisissez la date de début du projet (cellule teintée) : la frise des semaines se recale.</t>
        </is>
      </c>
    </row>
    <row r="7" ht="16" customHeight="1">
      <c r="B7" s="4" t="inlineStr">
        <is>
          <t>2.</t>
        </is>
      </c>
      <c r="C7" s="5" t="inlineStr">
        <is>
          <t>Dans « Équipe », listez les membres : ils seront proposés dans la colonne Responsable.</t>
        </is>
      </c>
    </row>
    <row r="8" ht="16" customHeight="1">
      <c r="B8" s="4" t="inlineStr">
        <is>
          <t>3.</t>
        </is>
      </c>
      <c r="C8" s="5" t="inlineStr">
        <is>
          <t>Une ligne par phase, tâche ou jalon (colonne Type). Saisissez début, fin et avancement (0 à 100 %).</t>
        </is>
      </c>
    </row>
    <row r="9" ht="30" customHeight="1">
      <c r="B9" s="4" t="inlineStr">
        <is>
          <t>4.</t>
        </is>
      </c>
      <c r="C9" s="5" t="inlineStr">
        <is>
          <t>Le statut se calcule seul : à venir, en cours, en retard ou terminé. Pour ajouter des lignes, insérez-les au milieu du tableau.</t>
        </is>
      </c>
    </row>
    <row r="11" ht="22" customHeight="1">
      <c r="B11" s="3" t="inlineStr">
        <is>
          <t>Couleurs des cellules</t>
        </is>
      </c>
    </row>
    <row r="12" ht="18" customHeight="1">
      <c r="B12" s="6" t="inlineStr">
        <is>
          <t>Paramètre</t>
        </is>
      </c>
      <c r="C12" t="inlineStr">
        <is>
          <t>À régler d’abord : date de début, membres, catégories…</t>
        </is>
      </c>
    </row>
    <row r="13" ht="18" customHeight="1">
      <c r="B13" s="7" t="inlineStr">
        <is>
          <t>Saisie</t>
        </is>
      </c>
      <c r="C13" t="inlineStr">
        <is>
          <t>Cellules blanches : vos données, ligne par ligne.</t>
        </is>
      </c>
    </row>
    <row r="14" ht="18" customHeight="1">
      <c r="B14" s="8" t="inlineStr">
        <is>
          <t>Calcul</t>
        </is>
      </c>
      <c r="C14" t="inlineStr">
        <is>
          <t>Cellules grises : calculées automatiquement, ne pas écraser.</t>
        </is>
      </c>
    </row>
    <row r="15">
      <c r="B15" s="9" t="inlineStr">
        <is>
          <t>Barre foncée</t>
        </is>
      </c>
      <c r="C15" t="inlineStr">
        <is>
          <t>Partie réalisée de la tâche (selon l’avancement).</t>
        </is>
      </c>
    </row>
    <row r="16">
      <c r="B16" s="9" t="inlineStr">
        <is>
          <t>Barre claire</t>
        </is>
      </c>
      <c r="C16" t="inlineStr">
        <is>
          <t>Partie restante.</t>
        </is>
      </c>
    </row>
    <row r="17">
      <c r="B17" s="9" t="inlineStr">
        <is>
          <t>◆</t>
        </is>
      </c>
      <c r="C17" t="inlineStr">
        <is>
          <t>Jalon, placé à sa date de fin.</t>
        </is>
      </c>
    </row>
    <row r="18">
      <c r="B18" s="9" t="inlineStr">
        <is>
          <t>Trait rouge</t>
        </is>
      </c>
      <c r="C18" t="inlineStr">
        <is>
          <t>Semaine en cours.</t>
        </is>
      </c>
    </row>
    <row r="20" ht="22" customHeight="1">
      <c r="B20" s="3" t="inlineStr">
        <is>
          <t>Bon à savoir</t>
        </is>
      </c>
    </row>
    <row r="21" ht="16" customHeight="1">
      <c r="B21" s="4" t="inlineStr">
        <is>
          <t>·</t>
        </is>
      </c>
      <c r="C21" s="5" t="inlineStr">
        <is>
          <t>Les tâches livrées sont un exemple : remplacez-les par les vôtres.</t>
        </is>
      </c>
    </row>
    <row r="22" ht="16" customHeight="1">
      <c r="B22" s="4" t="inlineStr">
        <is>
          <t>·</t>
        </is>
      </c>
      <c r="C22" s="5" t="inlineStr">
        <is>
          <t>Jours = jours ouvrés entre début et fin (lundi à vendredi, sans les jours fériés).</t>
        </is>
      </c>
    </row>
    <row r="24">
      <c r="B24" s="10" t="inlineStr">
        <is>
          <t>Modèle Halo · police Helvetica · nuance : Mise en page → Thèmes.</t>
        </is>
      </c>
    </row>
  </sheetData>
  <printOptions horizontalCentered="0"/>
  <pageMargins left="0.6" right="0.6" top="0.7" bottom="0.7" header="0.5" footer="0.5"/>
  <pageSetup orientation="portrait" paperSize="9" fitToHeight="0" fitToWidth="1"/>
</worksheet>
</file>

<file path=xl/worksheets/sheet2.xml><?xml version="1.0" encoding="utf-8"?>
<worksheet xmlns="http://schemas.openxmlformats.org/spreadsheetml/2006/main">
  <sheetPr>
    <outlinePr summaryBelow="1" summaryRight="1"/>
    <pageSetUpPr fitToPage="1"/>
  </sheetPr>
  <dimension ref="B1:AI66"/>
  <sheetViews>
    <sheetView showGridLines="0" zoomScale="110" workbookViewId="0">
      <pane xSplit="9" ySplit="6" topLeftCell="J7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" customWidth="1" min="1" max="1"/>
    <col width="11" customWidth="1" min="2" max="2"/>
    <col width="34" customWidth="1" min="3" max="3"/>
    <col width="13" customWidth="1" min="4" max="4"/>
    <col width="11" customWidth="1" min="5" max="5"/>
    <col width="11" customWidth="1" min="6" max="6"/>
    <col width="7" customWidth="1" min="7" max="7"/>
    <col width="11" customWidth="1" min="8" max="8"/>
    <col width="12" customWidth="1" min="9" max="9"/>
    <col width="4.2" customWidth="1" min="10" max="10"/>
    <col width="4.2" customWidth="1" min="11" max="11"/>
    <col width="4.2" customWidth="1" min="12" max="12"/>
    <col width="4.2" customWidth="1" min="13" max="13"/>
    <col width="4.2" customWidth="1" min="14" max="14"/>
    <col width="4.2" customWidth="1" min="15" max="15"/>
    <col width="4.2" customWidth="1" min="16" max="16"/>
    <col width="4.2" customWidth="1" min="17" max="17"/>
    <col width="4.2" customWidth="1" min="18" max="18"/>
    <col width="4.2" customWidth="1" min="19" max="19"/>
    <col width="4.2" customWidth="1" min="20" max="20"/>
    <col width="4.2" customWidth="1" min="21" max="21"/>
    <col width="4.2" customWidth="1" min="22" max="22"/>
    <col width="4.2" customWidth="1" min="23" max="23"/>
    <col width="4.2" customWidth="1" min="24" max="24"/>
    <col width="4.2" customWidth="1" min="25" max="25"/>
    <col width="4.2" customWidth="1" min="26" max="26"/>
    <col width="4.2" customWidth="1" min="27" max="27"/>
    <col width="4.2" customWidth="1" min="28" max="28"/>
    <col width="4.2" customWidth="1" min="29" max="29"/>
    <col width="4.2" customWidth="1" min="30" max="30"/>
    <col width="4.2" customWidth="1" min="31" max="31"/>
    <col width="4.2" customWidth="1" min="32" max="32"/>
    <col width="4.2" customWidth="1" min="33" max="33"/>
    <col width="4.2" customWidth="1" min="34" max="34"/>
    <col width="4.2" customWidth="1" min="35" max="35"/>
  </cols>
  <sheetData>
    <row r="1" ht="30" customHeight="1">
      <c r="B1" s="1" t="inlineStr">
        <is>
          <t>Planning de projet</t>
        </is>
      </c>
    </row>
    <row r="2">
      <c r="B2" s="2" t="inlineStr">
        <is>
          <t>Projet</t>
        </is>
      </c>
      <c r="C2" s="11" t="inlineStr">
        <is>
          <t>[Nom du projet]</t>
        </is>
      </c>
      <c r="D2" s="2" t="inlineStr">
        <is>
          <t>Début</t>
        </is>
      </c>
      <c r="E2" s="12" t="n">
        <v>46279</v>
      </c>
      <c r="F2" s="2" t="inlineStr">
        <is>
          <t>Aujourd’hui</t>
        </is>
      </c>
      <c r="G2" s="13">
        <f>TODAY()</f>
        <v/>
      </c>
      <c r="H2" s="14" t="n"/>
    </row>
    <row r="4">
      <c r="J4" s="15">
        <f>J5</f>
        <v/>
      </c>
      <c r="K4" s="15">
        <f>IF(MONTH(K5)&lt;&gt;MONTH(J5),K5,"")</f>
        <v/>
      </c>
      <c r="L4" s="15">
        <f>IF(MONTH(L5)&lt;&gt;MONTH(K5),L5,"")</f>
        <v/>
      </c>
      <c r="M4" s="15">
        <f>IF(MONTH(M5)&lt;&gt;MONTH(L5),M5,"")</f>
        <v/>
      </c>
      <c r="N4" s="15">
        <f>IF(MONTH(N5)&lt;&gt;MONTH(M5),N5,"")</f>
        <v/>
      </c>
      <c r="O4" s="15">
        <f>IF(MONTH(O5)&lt;&gt;MONTH(N5),O5,"")</f>
        <v/>
      </c>
      <c r="P4" s="15">
        <f>IF(MONTH(P5)&lt;&gt;MONTH(O5),P5,"")</f>
        <v/>
      </c>
      <c r="Q4" s="15">
        <f>IF(MONTH(Q5)&lt;&gt;MONTH(P5),Q5,"")</f>
        <v/>
      </c>
      <c r="R4" s="15">
        <f>IF(MONTH(R5)&lt;&gt;MONTH(Q5),R5,"")</f>
        <v/>
      </c>
      <c r="S4" s="15">
        <f>IF(MONTH(S5)&lt;&gt;MONTH(R5),S5,"")</f>
        <v/>
      </c>
      <c r="T4" s="15">
        <f>IF(MONTH(T5)&lt;&gt;MONTH(S5),T5,"")</f>
        <v/>
      </c>
      <c r="U4" s="15">
        <f>IF(MONTH(U5)&lt;&gt;MONTH(T5),U5,"")</f>
        <v/>
      </c>
      <c r="V4" s="15">
        <f>IF(MONTH(V5)&lt;&gt;MONTH(U5),V5,"")</f>
        <v/>
      </c>
      <c r="W4" s="15">
        <f>IF(MONTH(W5)&lt;&gt;MONTH(V5),W5,"")</f>
        <v/>
      </c>
      <c r="X4" s="15">
        <f>IF(MONTH(X5)&lt;&gt;MONTH(W5),X5,"")</f>
        <v/>
      </c>
      <c r="Y4" s="15">
        <f>IF(MONTH(Y5)&lt;&gt;MONTH(X5),Y5,"")</f>
        <v/>
      </c>
      <c r="Z4" s="15">
        <f>IF(MONTH(Z5)&lt;&gt;MONTH(Y5),Z5,"")</f>
        <v/>
      </c>
      <c r="AA4" s="15">
        <f>IF(MONTH(AA5)&lt;&gt;MONTH(Z5),AA5,"")</f>
        <v/>
      </c>
      <c r="AB4" s="15">
        <f>IF(MONTH(AB5)&lt;&gt;MONTH(AA5),AB5,"")</f>
        <v/>
      </c>
      <c r="AC4" s="15">
        <f>IF(MONTH(AC5)&lt;&gt;MONTH(AB5),AC5,"")</f>
        <v/>
      </c>
      <c r="AD4" s="15">
        <f>IF(MONTH(AD5)&lt;&gt;MONTH(AC5),AD5,"")</f>
        <v/>
      </c>
      <c r="AE4" s="15">
        <f>IF(MONTH(AE5)&lt;&gt;MONTH(AD5),AE5,"")</f>
        <v/>
      </c>
      <c r="AF4" s="15">
        <f>IF(MONTH(AF5)&lt;&gt;MONTH(AE5),AF5,"")</f>
        <v/>
      </c>
      <c r="AG4" s="15">
        <f>IF(MONTH(AG5)&lt;&gt;MONTH(AF5),AG5,"")</f>
        <v/>
      </c>
      <c r="AH4" s="15">
        <f>IF(MONTH(AH5)&lt;&gt;MONTH(AG5),AH5,"")</f>
        <v/>
      </c>
      <c r="AI4" s="15">
        <f>IF(MONTH(AI5)&lt;&gt;MONTH(AH5),AI5,"")</f>
        <v/>
      </c>
    </row>
    <row r="5" ht="34" customHeight="1">
      <c r="J5" s="16">
        <f>$E$2-WEEKDAY($E$2,3)</f>
        <v/>
      </c>
      <c r="K5" s="16">
        <f>J5+7</f>
        <v/>
      </c>
      <c r="L5" s="16">
        <f>K5+7</f>
        <v/>
      </c>
      <c r="M5" s="16">
        <f>L5+7</f>
        <v/>
      </c>
      <c r="N5" s="16">
        <f>M5+7</f>
        <v/>
      </c>
      <c r="O5" s="16">
        <f>N5+7</f>
        <v/>
      </c>
      <c r="P5" s="16">
        <f>O5+7</f>
        <v/>
      </c>
      <c r="Q5" s="16">
        <f>P5+7</f>
        <v/>
      </c>
      <c r="R5" s="16">
        <f>Q5+7</f>
        <v/>
      </c>
      <c r="S5" s="16">
        <f>R5+7</f>
        <v/>
      </c>
      <c r="T5" s="16">
        <f>S5+7</f>
        <v/>
      </c>
      <c r="U5" s="16">
        <f>T5+7</f>
        <v/>
      </c>
      <c r="V5" s="16">
        <f>U5+7</f>
        <v/>
      </c>
      <c r="W5" s="16">
        <f>V5+7</f>
        <v/>
      </c>
      <c r="X5" s="16">
        <f>W5+7</f>
        <v/>
      </c>
      <c r="Y5" s="16">
        <f>X5+7</f>
        <v/>
      </c>
      <c r="Z5" s="16">
        <f>Y5+7</f>
        <v/>
      </c>
      <c r="AA5" s="16">
        <f>Z5+7</f>
        <v/>
      </c>
      <c r="AB5" s="16">
        <f>AA5+7</f>
        <v/>
      </c>
      <c r="AC5" s="16">
        <f>AB5+7</f>
        <v/>
      </c>
      <c r="AD5" s="16">
        <f>AC5+7</f>
        <v/>
      </c>
      <c r="AE5" s="16">
        <f>AD5+7</f>
        <v/>
      </c>
      <c r="AF5" s="16">
        <f>AE5+7</f>
        <v/>
      </c>
      <c r="AG5" s="16">
        <f>AF5+7</f>
        <v/>
      </c>
      <c r="AH5" s="16">
        <f>AG5+7</f>
        <v/>
      </c>
      <c r="AI5" s="16">
        <f>AH5+7</f>
        <v/>
      </c>
    </row>
    <row r="6" ht="20" customHeight="1">
      <c r="B6" s="17" t="inlineStr">
        <is>
          <t>Type</t>
        </is>
      </c>
      <c r="C6" s="17" t="inlineStr">
        <is>
          <t>Tâche</t>
        </is>
      </c>
      <c r="D6" s="17" t="inlineStr">
        <is>
          <t>Responsable</t>
        </is>
      </c>
      <c r="E6" s="17" t="inlineStr">
        <is>
          <t>Début</t>
        </is>
      </c>
      <c r="F6" s="17" t="inlineStr">
        <is>
          <t>Fin</t>
        </is>
      </c>
      <c r="G6" s="18" t="inlineStr">
        <is>
          <t>Jours</t>
        </is>
      </c>
      <c r="H6" s="18" t="inlineStr">
        <is>
          <t>Avancement</t>
        </is>
      </c>
      <c r="I6" s="17" t="inlineStr">
        <is>
          <t>Statut</t>
        </is>
      </c>
      <c r="J6" s="19">
        <f>"S"&amp;WEEKNUM(J5,21)</f>
        <v/>
      </c>
      <c r="K6" s="19">
        <f>"S"&amp;WEEKNUM(K5,21)</f>
        <v/>
      </c>
      <c r="L6" s="19">
        <f>"S"&amp;WEEKNUM(L5,21)</f>
        <v/>
      </c>
      <c r="M6" s="19">
        <f>"S"&amp;WEEKNUM(M5,21)</f>
        <v/>
      </c>
      <c r="N6" s="19">
        <f>"S"&amp;WEEKNUM(N5,21)</f>
        <v/>
      </c>
      <c r="O6" s="19">
        <f>"S"&amp;WEEKNUM(O5,21)</f>
        <v/>
      </c>
      <c r="P6" s="19">
        <f>"S"&amp;WEEKNUM(P5,21)</f>
        <v/>
      </c>
      <c r="Q6" s="19">
        <f>"S"&amp;WEEKNUM(Q5,21)</f>
        <v/>
      </c>
      <c r="R6" s="19">
        <f>"S"&amp;WEEKNUM(R5,21)</f>
        <v/>
      </c>
      <c r="S6" s="19">
        <f>"S"&amp;WEEKNUM(S5,21)</f>
        <v/>
      </c>
      <c r="T6" s="19">
        <f>"S"&amp;WEEKNUM(T5,21)</f>
        <v/>
      </c>
      <c r="U6" s="19">
        <f>"S"&amp;WEEKNUM(U5,21)</f>
        <v/>
      </c>
      <c r="V6" s="19">
        <f>"S"&amp;WEEKNUM(V5,21)</f>
        <v/>
      </c>
      <c r="W6" s="19">
        <f>"S"&amp;WEEKNUM(W5,21)</f>
        <v/>
      </c>
      <c r="X6" s="19">
        <f>"S"&amp;WEEKNUM(X5,21)</f>
        <v/>
      </c>
      <c r="Y6" s="19">
        <f>"S"&amp;WEEKNUM(Y5,21)</f>
        <v/>
      </c>
      <c r="Z6" s="19">
        <f>"S"&amp;WEEKNUM(Z5,21)</f>
        <v/>
      </c>
      <c r="AA6" s="19">
        <f>"S"&amp;WEEKNUM(AA5,21)</f>
        <v/>
      </c>
      <c r="AB6" s="19">
        <f>"S"&amp;WEEKNUM(AB5,21)</f>
        <v/>
      </c>
      <c r="AC6" s="19">
        <f>"S"&amp;WEEKNUM(AC5,21)</f>
        <v/>
      </c>
      <c r="AD6" s="19">
        <f>"S"&amp;WEEKNUM(AD5,21)</f>
        <v/>
      </c>
      <c r="AE6" s="19">
        <f>"S"&amp;WEEKNUM(AE5,21)</f>
        <v/>
      </c>
      <c r="AF6" s="19">
        <f>"S"&amp;WEEKNUM(AF5,21)</f>
        <v/>
      </c>
      <c r="AG6" s="19">
        <f>"S"&amp;WEEKNUM(AG5,21)</f>
        <v/>
      </c>
      <c r="AH6" s="19">
        <f>"S"&amp;WEEKNUM(AH5,21)</f>
        <v/>
      </c>
      <c r="AI6" s="19">
        <f>"S"&amp;WEEKNUM(AI5,21)</f>
        <v/>
      </c>
    </row>
    <row r="7">
      <c r="B7" s="20" t="inlineStr">
        <is>
          <t>Phase</t>
        </is>
      </c>
      <c r="C7" s="21" t="inlineStr">
        <is>
          <t>Analyse</t>
        </is>
      </c>
      <c r="D7" s="20" t="n"/>
      <c r="E7" s="22" t="n">
        <v>46279</v>
      </c>
      <c r="F7" s="22" t="n">
        <v>46297</v>
      </c>
      <c r="G7" s="23">
        <f>IF(OR(E7="",F7=""),"",NETWORKDAYS(E7,F7))</f>
        <v/>
      </c>
      <c r="H7" s="24" t="n"/>
      <c r="I7" s="25">
        <f>IF(C7="","",IF(B7="Phase","",IF(H7&gt;=1,"Terminé",IF(AND(F7&lt;&gt;"",TODAY()&gt;F7),"En retard",IF(AND(E7&lt;&gt;"",TODAY()&gt;=E7),"En cours","À venir")))))</f>
        <v/>
      </c>
      <c r="J7" s="26">
        <f>IF(AND($B7="Jalon",$F7&gt;=J$5,$F7&lt;J$5+7),"◆","")</f>
        <v/>
      </c>
      <c r="K7" s="26">
        <f>IF(AND($B7="Jalon",$F7&gt;=K$5,$F7&lt;K$5+7),"◆","")</f>
        <v/>
      </c>
      <c r="L7" s="26">
        <f>IF(AND($B7="Jalon",$F7&gt;=L$5,$F7&lt;L$5+7),"◆","")</f>
        <v/>
      </c>
      <c r="M7" s="26">
        <f>IF(AND($B7="Jalon",$F7&gt;=M$5,$F7&lt;M$5+7),"◆","")</f>
        <v/>
      </c>
      <c r="N7" s="26">
        <f>IF(AND($B7="Jalon",$F7&gt;=N$5,$F7&lt;N$5+7),"◆","")</f>
        <v/>
      </c>
      <c r="O7" s="26">
        <f>IF(AND($B7="Jalon",$F7&gt;=O$5,$F7&lt;O$5+7),"◆","")</f>
        <v/>
      </c>
      <c r="P7" s="26">
        <f>IF(AND($B7="Jalon",$F7&gt;=P$5,$F7&lt;P$5+7),"◆","")</f>
        <v/>
      </c>
      <c r="Q7" s="26">
        <f>IF(AND($B7="Jalon",$F7&gt;=Q$5,$F7&lt;Q$5+7),"◆","")</f>
        <v/>
      </c>
      <c r="R7" s="26">
        <f>IF(AND($B7="Jalon",$F7&gt;=R$5,$F7&lt;R$5+7),"◆","")</f>
        <v/>
      </c>
      <c r="S7" s="26">
        <f>IF(AND($B7="Jalon",$F7&gt;=S$5,$F7&lt;S$5+7),"◆","")</f>
        <v/>
      </c>
      <c r="T7" s="26">
        <f>IF(AND($B7="Jalon",$F7&gt;=T$5,$F7&lt;T$5+7),"◆","")</f>
        <v/>
      </c>
      <c r="U7" s="26">
        <f>IF(AND($B7="Jalon",$F7&gt;=U$5,$F7&lt;U$5+7),"◆","")</f>
        <v/>
      </c>
      <c r="V7" s="26">
        <f>IF(AND($B7="Jalon",$F7&gt;=V$5,$F7&lt;V$5+7),"◆","")</f>
        <v/>
      </c>
      <c r="W7" s="26">
        <f>IF(AND($B7="Jalon",$F7&gt;=W$5,$F7&lt;W$5+7),"◆","")</f>
        <v/>
      </c>
      <c r="X7" s="26">
        <f>IF(AND($B7="Jalon",$F7&gt;=X$5,$F7&lt;X$5+7),"◆","")</f>
        <v/>
      </c>
      <c r="Y7" s="26">
        <f>IF(AND($B7="Jalon",$F7&gt;=Y$5,$F7&lt;Y$5+7),"◆","")</f>
        <v/>
      </c>
      <c r="Z7" s="26">
        <f>IF(AND($B7="Jalon",$F7&gt;=Z$5,$F7&lt;Z$5+7),"◆","")</f>
        <v/>
      </c>
      <c r="AA7" s="26">
        <f>IF(AND($B7="Jalon",$F7&gt;=AA$5,$F7&lt;AA$5+7),"◆","")</f>
        <v/>
      </c>
      <c r="AB7" s="26">
        <f>IF(AND($B7="Jalon",$F7&gt;=AB$5,$F7&lt;AB$5+7),"◆","")</f>
        <v/>
      </c>
      <c r="AC7" s="26">
        <f>IF(AND($B7="Jalon",$F7&gt;=AC$5,$F7&lt;AC$5+7),"◆","")</f>
        <v/>
      </c>
      <c r="AD7" s="26">
        <f>IF(AND($B7="Jalon",$F7&gt;=AD$5,$F7&lt;AD$5+7),"◆","")</f>
        <v/>
      </c>
      <c r="AE7" s="26">
        <f>IF(AND($B7="Jalon",$F7&gt;=AE$5,$F7&lt;AE$5+7),"◆","")</f>
        <v/>
      </c>
      <c r="AF7" s="26">
        <f>IF(AND($B7="Jalon",$F7&gt;=AF$5,$F7&lt;AF$5+7),"◆","")</f>
        <v/>
      </c>
      <c r="AG7" s="26">
        <f>IF(AND($B7="Jalon",$F7&gt;=AG$5,$F7&lt;AG$5+7),"◆","")</f>
        <v/>
      </c>
      <c r="AH7" s="26">
        <f>IF(AND($B7="Jalon",$F7&gt;=AH$5,$F7&lt;AH$5+7),"◆","")</f>
        <v/>
      </c>
      <c r="AI7" s="26">
        <f>IF(AND($B7="Jalon",$F7&gt;=AI$5,$F7&lt;AI$5+7),"◆","")</f>
        <v/>
      </c>
    </row>
    <row r="8">
      <c r="B8" s="20" t="inlineStr">
        <is>
          <t>Tâche</t>
        </is>
      </c>
      <c r="C8" s="20" t="inlineStr">
        <is>
          <t>Lancement et cadrage</t>
        </is>
      </c>
      <c r="D8" s="20" t="inlineStr">
        <is>
          <t>Alex</t>
        </is>
      </c>
      <c r="E8" s="22" t="n">
        <v>46279</v>
      </c>
      <c r="F8" s="22" t="n">
        <v>46283</v>
      </c>
      <c r="G8" s="23">
        <f>IF(OR(E8="",F8=""),"",NETWORKDAYS(E8,F8))</f>
        <v/>
      </c>
      <c r="H8" s="24" t="n">
        <v>1</v>
      </c>
      <c r="I8" s="25">
        <f>IF(C8="","",IF(B8="Phase","",IF(H8&gt;=1,"Terminé",IF(AND(F8&lt;&gt;"",TODAY()&gt;F8),"En retard",IF(AND(E8&lt;&gt;"",TODAY()&gt;=E8),"En cours","À venir")))))</f>
        <v/>
      </c>
      <c r="J8" s="26">
        <f>IF(AND($B8="Jalon",$F8&gt;=J$5,$F8&lt;J$5+7),"◆","")</f>
        <v/>
      </c>
      <c r="K8" s="26">
        <f>IF(AND($B8="Jalon",$F8&gt;=K$5,$F8&lt;K$5+7),"◆","")</f>
        <v/>
      </c>
      <c r="L8" s="26">
        <f>IF(AND($B8="Jalon",$F8&gt;=L$5,$F8&lt;L$5+7),"◆","")</f>
        <v/>
      </c>
      <c r="M8" s="26">
        <f>IF(AND($B8="Jalon",$F8&gt;=M$5,$F8&lt;M$5+7),"◆","")</f>
        <v/>
      </c>
      <c r="N8" s="26">
        <f>IF(AND($B8="Jalon",$F8&gt;=N$5,$F8&lt;N$5+7),"◆","")</f>
        <v/>
      </c>
      <c r="O8" s="26">
        <f>IF(AND($B8="Jalon",$F8&gt;=O$5,$F8&lt;O$5+7),"◆","")</f>
        <v/>
      </c>
      <c r="P8" s="26">
        <f>IF(AND($B8="Jalon",$F8&gt;=P$5,$F8&lt;P$5+7),"◆","")</f>
        <v/>
      </c>
      <c r="Q8" s="26">
        <f>IF(AND($B8="Jalon",$F8&gt;=Q$5,$F8&lt;Q$5+7),"◆","")</f>
        <v/>
      </c>
      <c r="R8" s="26">
        <f>IF(AND($B8="Jalon",$F8&gt;=R$5,$F8&lt;R$5+7),"◆","")</f>
        <v/>
      </c>
      <c r="S8" s="26">
        <f>IF(AND($B8="Jalon",$F8&gt;=S$5,$F8&lt;S$5+7),"◆","")</f>
        <v/>
      </c>
      <c r="T8" s="26">
        <f>IF(AND($B8="Jalon",$F8&gt;=T$5,$F8&lt;T$5+7),"◆","")</f>
        <v/>
      </c>
      <c r="U8" s="26">
        <f>IF(AND($B8="Jalon",$F8&gt;=U$5,$F8&lt;U$5+7),"◆","")</f>
        <v/>
      </c>
      <c r="V8" s="26">
        <f>IF(AND($B8="Jalon",$F8&gt;=V$5,$F8&lt;V$5+7),"◆","")</f>
        <v/>
      </c>
      <c r="W8" s="26">
        <f>IF(AND($B8="Jalon",$F8&gt;=W$5,$F8&lt;W$5+7),"◆","")</f>
        <v/>
      </c>
      <c r="X8" s="26">
        <f>IF(AND($B8="Jalon",$F8&gt;=X$5,$F8&lt;X$5+7),"◆","")</f>
        <v/>
      </c>
      <c r="Y8" s="26">
        <f>IF(AND($B8="Jalon",$F8&gt;=Y$5,$F8&lt;Y$5+7),"◆","")</f>
        <v/>
      </c>
      <c r="Z8" s="26">
        <f>IF(AND($B8="Jalon",$F8&gt;=Z$5,$F8&lt;Z$5+7),"◆","")</f>
        <v/>
      </c>
      <c r="AA8" s="26">
        <f>IF(AND($B8="Jalon",$F8&gt;=AA$5,$F8&lt;AA$5+7),"◆","")</f>
        <v/>
      </c>
      <c r="AB8" s="26">
        <f>IF(AND($B8="Jalon",$F8&gt;=AB$5,$F8&lt;AB$5+7),"◆","")</f>
        <v/>
      </c>
      <c r="AC8" s="26">
        <f>IF(AND($B8="Jalon",$F8&gt;=AC$5,$F8&lt;AC$5+7),"◆","")</f>
        <v/>
      </c>
      <c r="AD8" s="26">
        <f>IF(AND($B8="Jalon",$F8&gt;=AD$5,$F8&lt;AD$5+7),"◆","")</f>
        <v/>
      </c>
      <c r="AE8" s="26">
        <f>IF(AND($B8="Jalon",$F8&gt;=AE$5,$F8&lt;AE$5+7),"◆","")</f>
        <v/>
      </c>
      <c r="AF8" s="26">
        <f>IF(AND($B8="Jalon",$F8&gt;=AF$5,$F8&lt;AF$5+7),"◆","")</f>
        <v/>
      </c>
      <c r="AG8" s="26">
        <f>IF(AND($B8="Jalon",$F8&gt;=AG$5,$F8&lt;AG$5+7),"◆","")</f>
        <v/>
      </c>
      <c r="AH8" s="26">
        <f>IF(AND($B8="Jalon",$F8&gt;=AH$5,$F8&lt;AH$5+7),"◆","")</f>
        <v/>
      </c>
      <c r="AI8" s="26">
        <f>IF(AND($B8="Jalon",$F8&gt;=AI$5,$F8&lt;AI$5+7),"◆","")</f>
        <v/>
      </c>
    </row>
    <row r="9">
      <c r="B9" s="20" t="inlineStr">
        <is>
          <t>Tâche</t>
        </is>
      </c>
      <c r="C9" s="20" t="inlineStr">
        <is>
          <t>Analyse des besoins</t>
        </is>
      </c>
      <c r="D9" s="20" t="inlineStr">
        <is>
          <t>Noa</t>
        </is>
      </c>
      <c r="E9" s="22" t="n">
        <v>46286</v>
      </c>
      <c r="F9" s="22" t="n">
        <v>46297</v>
      </c>
      <c r="G9" s="23">
        <f>IF(OR(E9="",F9=""),"",NETWORKDAYS(E9,F9))</f>
        <v/>
      </c>
      <c r="H9" s="24" t="n">
        <v>0.6</v>
      </c>
      <c r="I9" s="25">
        <f>IF(C9="","",IF(B9="Phase","",IF(H9&gt;=1,"Terminé",IF(AND(F9&lt;&gt;"",TODAY()&gt;F9),"En retard",IF(AND(E9&lt;&gt;"",TODAY()&gt;=E9),"En cours","À venir")))))</f>
        <v/>
      </c>
      <c r="J9" s="26">
        <f>IF(AND($B9="Jalon",$F9&gt;=J$5,$F9&lt;J$5+7),"◆","")</f>
        <v/>
      </c>
      <c r="K9" s="26">
        <f>IF(AND($B9="Jalon",$F9&gt;=K$5,$F9&lt;K$5+7),"◆","")</f>
        <v/>
      </c>
      <c r="L9" s="26">
        <f>IF(AND($B9="Jalon",$F9&gt;=L$5,$F9&lt;L$5+7),"◆","")</f>
        <v/>
      </c>
      <c r="M9" s="26">
        <f>IF(AND($B9="Jalon",$F9&gt;=M$5,$F9&lt;M$5+7),"◆","")</f>
        <v/>
      </c>
      <c r="N9" s="26">
        <f>IF(AND($B9="Jalon",$F9&gt;=N$5,$F9&lt;N$5+7),"◆","")</f>
        <v/>
      </c>
      <c r="O9" s="26">
        <f>IF(AND($B9="Jalon",$F9&gt;=O$5,$F9&lt;O$5+7),"◆","")</f>
        <v/>
      </c>
      <c r="P9" s="26">
        <f>IF(AND($B9="Jalon",$F9&gt;=P$5,$F9&lt;P$5+7),"◆","")</f>
        <v/>
      </c>
      <c r="Q9" s="26">
        <f>IF(AND($B9="Jalon",$F9&gt;=Q$5,$F9&lt;Q$5+7),"◆","")</f>
        <v/>
      </c>
      <c r="R9" s="26">
        <f>IF(AND($B9="Jalon",$F9&gt;=R$5,$F9&lt;R$5+7),"◆","")</f>
        <v/>
      </c>
      <c r="S9" s="26">
        <f>IF(AND($B9="Jalon",$F9&gt;=S$5,$F9&lt;S$5+7),"◆","")</f>
        <v/>
      </c>
      <c r="T9" s="26">
        <f>IF(AND($B9="Jalon",$F9&gt;=T$5,$F9&lt;T$5+7),"◆","")</f>
        <v/>
      </c>
      <c r="U9" s="26">
        <f>IF(AND($B9="Jalon",$F9&gt;=U$5,$F9&lt;U$5+7),"◆","")</f>
        <v/>
      </c>
      <c r="V9" s="26">
        <f>IF(AND($B9="Jalon",$F9&gt;=V$5,$F9&lt;V$5+7),"◆","")</f>
        <v/>
      </c>
      <c r="W9" s="26">
        <f>IF(AND($B9="Jalon",$F9&gt;=W$5,$F9&lt;W$5+7),"◆","")</f>
        <v/>
      </c>
      <c r="X9" s="26">
        <f>IF(AND($B9="Jalon",$F9&gt;=X$5,$F9&lt;X$5+7),"◆","")</f>
        <v/>
      </c>
      <c r="Y9" s="26">
        <f>IF(AND($B9="Jalon",$F9&gt;=Y$5,$F9&lt;Y$5+7),"◆","")</f>
        <v/>
      </c>
      <c r="Z9" s="26">
        <f>IF(AND($B9="Jalon",$F9&gt;=Z$5,$F9&lt;Z$5+7),"◆","")</f>
        <v/>
      </c>
      <c r="AA9" s="26">
        <f>IF(AND($B9="Jalon",$F9&gt;=AA$5,$F9&lt;AA$5+7),"◆","")</f>
        <v/>
      </c>
      <c r="AB9" s="26">
        <f>IF(AND($B9="Jalon",$F9&gt;=AB$5,$F9&lt;AB$5+7),"◆","")</f>
        <v/>
      </c>
      <c r="AC9" s="26">
        <f>IF(AND($B9="Jalon",$F9&gt;=AC$5,$F9&lt;AC$5+7),"◆","")</f>
        <v/>
      </c>
      <c r="AD9" s="26">
        <f>IF(AND($B9="Jalon",$F9&gt;=AD$5,$F9&lt;AD$5+7),"◆","")</f>
        <v/>
      </c>
      <c r="AE9" s="26">
        <f>IF(AND($B9="Jalon",$F9&gt;=AE$5,$F9&lt;AE$5+7),"◆","")</f>
        <v/>
      </c>
      <c r="AF9" s="26">
        <f>IF(AND($B9="Jalon",$F9&gt;=AF$5,$F9&lt;AF$5+7),"◆","")</f>
        <v/>
      </c>
      <c r="AG9" s="26">
        <f>IF(AND($B9="Jalon",$F9&gt;=AG$5,$F9&lt;AG$5+7),"◆","")</f>
        <v/>
      </c>
      <c r="AH9" s="26">
        <f>IF(AND($B9="Jalon",$F9&gt;=AH$5,$F9&lt;AH$5+7),"◆","")</f>
        <v/>
      </c>
      <c r="AI9" s="26">
        <f>IF(AND($B9="Jalon",$F9&gt;=AI$5,$F9&lt;AI$5+7),"◆","")</f>
        <v/>
      </c>
    </row>
    <row r="10">
      <c r="B10" s="20" t="inlineStr">
        <is>
          <t>Phase</t>
        </is>
      </c>
      <c r="C10" s="21" t="inlineStr">
        <is>
          <t>Conception</t>
        </is>
      </c>
      <c r="D10" s="20" t="n"/>
      <c r="E10" s="22" t="n">
        <v>46300</v>
      </c>
      <c r="F10" s="22" t="n">
        <v>46318</v>
      </c>
      <c r="G10" s="23">
        <f>IF(OR(E10="",F10=""),"",NETWORKDAYS(E10,F10))</f>
        <v/>
      </c>
      <c r="H10" s="24" t="n"/>
      <c r="I10" s="25">
        <f>IF(C10="","",IF(B10="Phase","",IF(H10&gt;=1,"Terminé",IF(AND(F10&lt;&gt;"",TODAY()&gt;F10),"En retard",IF(AND(E10&lt;&gt;"",TODAY()&gt;=E10),"En cours","À venir")))))</f>
        <v/>
      </c>
      <c r="J10" s="26">
        <f>IF(AND($B10="Jalon",$F10&gt;=J$5,$F10&lt;J$5+7),"◆","")</f>
        <v/>
      </c>
      <c r="K10" s="26">
        <f>IF(AND($B10="Jalon",$F10&gt;=K$5,$F10&lt;K$5+7),"◆","")</f>
        <v/>
      </c>
      <c r="L10" s="26">
        <f>IF(AND($B10="Jalon",$F10&gt;=L$5,$F10&lt;L$5+7),"◆","")</f>
        <v/>
      </c>
      <c r="M10" s="26">
        <f>IF(AND($B10="Jalon",$F10&gt;=M$5,$F10&lt;M$5+7),"◆","")</f>
        <v/>
      </c>
      <c r="N10" s="26">
        <f>IF(AND($B10="Jalon",$F10&gt;=N$5,$F10&lt;N$5+7),"◆","")</f>
        <v/>
      </c>
      <c r="O10" s="26">
        <f>IF(AND($B10="Jalon",$F10&gt;=O$5,$F10&lt;O$5+7),"◆","")</f>
        <v/>
      </c>
      <c r="P10" s="26">
        <f>IF(AND($B10="Jalon",$F10&gt;=P$5,$F10&lt;P$5+7),"◆","")</f>
        <v/>
      </c>
      <c r="Q10" s="26">
        <f>IF(AND($B10="Jalon",$F10&gt;=Q$5,$F10&lt;Q$5+7),"◆","")</f>
        <v/>
      </c>
      <c r="R10" s="26">
        <f>IF(AND($B10="Jalon",$F10&gt;=R$5,$F10&lt;R$5+7),"◆","")</f>
        <v/>
      </c>
      <c r="S10" s="26">
        <f>IF(AND($B10="Jalon",$F10&gt;=S$5,$F10&lt;S$5+7),"◆","")</f>
        <v/>
      </c>
      <c r="T10" s="26">
        <f>IF(AND($B10="Jalon",$F10&gt;=T$5,$F10&lt;T$5+7),"◆","")</f>
        <v/>
      </c>
      <c r="U10" s="26">
        <f>IF(AND($B10="Jalon",$F10&gt;=U$5,$F10&lt;U$5+7),"◆","")</f>
        <v/>
      </c>
      <c r="V10" s="26">
        <f>IF(AND($B10="Jalon",$F10&gt;=V$5,$F10&lt;V$5+7),"◆","")</f>
        <v/>
      </c>
      <c r="W10" s="26">
        <f>IF(AND($B10="Jalon",$F10&gt;=W$5,$F10&lt;W$5+7),"◆","")</f>
        <v/>
      </c>
      <c r="X10" s="26">
        <f>IF(AND($B10="Jalon",$F10&gt;=X$5,$F10&lt;X$5+7),"◆","")</f>
        <v/>
      </c>
      <c r="Y10" s="26">
        <f>IF(AND($B10="Jalon",$F10&gt;=Y$5,$F10&lt;Y$5+7),"◆","")</f>
        <v/>
      </c>
      <c r="Z10" s="26">
        <f>IF(AND($B10="Jalon",$F10&gt;=Z$5,$F10&lt;Z$5+7),"◆","")</f>
        <v/>
      </c>
      <c r="AA10" s="26">
        <f>IF(AND($B10="Jalon",$F10&gt;=AA$5,$F10&lt;AA$5+7),"◆","")</f>
        <v/>
      </c>
      <c r="AB10" s="26">
        <f>IF(AND($B10="Jalon",$F10&gt;=AB$5,$F10&lt;AB$5+7),"◆","")</f>
        <v/>
      </c>
      <c r="AC10" s="26">
        <f>IF(AND($B10="Jalon",$F10&gt;=AC$5,$F10&lt;AC$5+7),"◆","")</f>
        <v/>
      </c>
      <c r="AD10" s="26">
        <f>IF(AND($B10="Jalon",$F10&gt;=AD$5,$F10&lt;AD$5+7),"◆","")</f>
        <v/>
      </c>
      <c r="AE10" s="26">
        <f>IF(AND($B10="Jalon",$F10&gt;=AE$5,$F10&lt;AE$5+7),"◆","")</f>
        <v/>
      </c>
      <c r="AF10" s="26">
        <f>IF(AND($B10="Jalon",$F10&gt;=AF$5,$F10&lt;AF$5+7),"◆","")</f>
        <v/>
      </c>
      <c r="AG10" s="26">
        <f>IF(AND($B10="Jalon",$F10&gt;=AG$5,$F10&lt;AG$5+7),"◆","")</f>
        <v/>
      </c>
      <c r="AH10" s="26">
        <f>IF(AND($B10="Jalon",$F10&gt;=AH$5,$F10&lt;AH$5+7),"◆","")</f>
        <v/>
      </c>
      <c r="AI10" s="26">
        <f>IF(AND($B10="Jalon",$F10&gt;=AI$5,$F10&lt;AI$5+7),"◆","")</f>
        <v/>
      </c>
    </row>
    <row r="11">
      <c r="B11" s="20" t="inlineStr">
        <is>
          <t>Tâche</t>
        </is>
      </c>
      <c r="C11" s="20" t="inlineStr">
        <is>
          <t>Maquettes</t>
        </is>
      </c>
      <c r="D11" s="20" t="inlineStr">
        <is>
          <t>Sam</t>
        </is>
      </c>
      <c r="E11" s="22" t="n">
        <v>46300</v>
      </c>
      <c r="F11" s="22" t="n">
        <v>46311</v>
      </c>
      <c r="G11" s="23">
        <f>IF(OR(E11="",F11=""),"",NETWORKDAYS(E11,F11))</f>
        <v/>
      </c>
      <c r="H11" s="24" t="n">
        <v>0</v>
      </c>
      <c r="I11" s="25">
        <f>IF(C11="","",IF(B11="Phase","",IF(H11&gt;=1,"Terminé",IF(AND(F11&lt;&gt;"",TODAY()&gt;F11),"En retard",IF(AND(E11&lt;&gt;"",TODAY()&gt;=E11),"En cours","À venir")))))</f>
        <v/>
      </c>
      <c r="J11" s="26">
        <f>IF(AND($B11="Jalon",$F11&gt;=J$5,$F11&lt;J$5+7),"◆","")</f>
        <v/>
      </c>
      <c r="K11" s="26">
        <f>IF(AND($B11="Jalon",$F11&gt;=K$5,$F11&lt;K$5+7),"◆","")</f>
        <v/>
      </c>
      <c r="L11" s="26">
        <f>IF(AND($B11="Jalon",$F11&gt;=L$5,$F11&lt;L$5+7),"◆","")</f>
        <v/>
      </c>
      <c r="M11" s="26">
        <f>IF(AND($B11="Jalon",$F11&gt;=M$5,$F11&lt;M$5+7),"◆","")</f>
        <v/>
      </c>
      <c r="N11" s="26">
        <f>IF(AND($B11="Jalon",$F11&gt;=N$5,$F11&lt;N$5+7),"◆","")</f>
        <v/>
      </c>
      <c r="O11" s="26">
        <f>IF(AND($B11="Jalon",$F11&gt;=O$5,$F11&lt;O$5+7),"◆","")</f>
        <v/>
      </c>
      <c r="P11" s="26">
        <f>IF(AND($B11="Jalon",$F11&gt;=P$5,$F11&lt;P$5+7),"◆","")</f>
        <v/>
      </c>
      <c r="Q11" s="26">
        <f>IF(AND($B11="Jalon",$F11&gt;=Q$5,$F11&lt;Q$5+7),"◆","")</f>
        <v/>
      </c>
      <c r="R11" s="26">
        <f>IF(AND($B11="Jalon",$F11&gt;=R$5,$F11&lt;R$5+7),"◆","")</f>
        <v/>
      </c>
      <c r="S11" s="26">
        <f>IF(AND($B11="Jalon",$F11&gt;=S$5,$F11&lt;S$5+7),"◆","")</f>
        <v/>
      </c>
      <c r="T11" s="26">
        <f>IF(AND($B11="Jalon",$F11&gt;=T$5,$F11&lt;T$5+7),"◆","")</f>
        <v/>
      </c>
      <c r="U11" s="26">
        <f>IF(AND($B11="Jalon",$F11&gt;=U$5,$F11&lt;U$5+7),"◆","")</f>
        <v/>
      </c>
      <c r="V11" s="26">
        <f>IF(AND($B11="Jalon",$F11&gt;=V$5,$F11&lt;V$5+7),"◆","")</f>
        <v/>
      </c>
      <c r="W11" s="26">
        <f>IF(AND($B11="Jalon",$F11&gt;=W$5,$F11&lt;W$5+7),"◆","")</f>
        <v/>
      </c>
      <c r="X11" s="26">
        <f>IF(AND($B11="Jalon",$F11&gt;=X$5,$F11&lt;X$5+7),"◆","")</f>
        <v/>
      </c>
      <c r="Y11" s="26">
        <f>IF(AND($B11="Jalon",$F11&gt;=Y$5,$F11&lt;Y$5+7),"◆","")</f>
        <v/>
      </c>
      <c r="Z11" s="26">
        <f>IF(AND($B11="Jalon",$F11&gt;=Z$5,$F11&lt;Z$5+7),"◆","")</f>
        <v/>
      </c>
      <c r="AA11" s="26">
        <f>IF(AND($B11="Jalon",$F11&gt;=AA$5,$F11&lt;AA$5+7),"◆","")</f>
        <v/>
      </c>
      <c r="AB11" s="26">
        <f>IF(AND($B11="Jalon",$F11&gt;=AB$5,$F11&lt;AB$5+7),"◆","")</f>
        <v/>
      </c>
      <c r="AC11" s="26">
        <f>IF(AND($B11="Jalon",$F11&gt;=AC$5,$F11&lt;AC$5+7),"◆","")</f>
        <v/>
      </c>
      <c r="AD11" s="26">
        <f>IF(AND($B11="Jalon",$F11&gt;=AD$5,$F11&lt;AD$5+7),"◆","")</f>
        <v/>
      </c>
      <c r="AE11" s="26">
        <f>IF(AND($B11="Jalon",$F11&gt;=AE$5,$F11&lt;AE$5+7),"◆","")</f>
        <v/>
      </c>
      <c r="AF11" s="26">
        <f>IF(AND($B11="Jalon",$F11&gt;=AF$5,$F11&lt;AF$5+7),"◆","")</f>
        <v/>
      </c>
      <c r="AG11" s="26">
        <f>IF(AND($B11="Jalon",$F11&gt;=AG$5,$F11&lt;AG$5+7),"◆","")</f>
        <v/>
      </c>
      <c r="AH11" s="26">
        <f>IF(AND($B11="Jalon",$F11&gt;=AH$5,$F11&lt;AH$5+7),"◆","")</f>
        <v/>
      </c>
      <c r="AI11" s="26">
        <f>IF(AND($B11="Jalon",$F11&gt;=AI$5,$F11&lt;AI$5+7),"◆","")</f>
        <v/>
      </c>
    </row>
    <row r="12">
      <c r="B12" s="20" t="inlineStr">
        <is>
          <t>Tâche</t>
        </is>
      </c>
      <c r="C12" s="20" t="inlineStr">
        <is>
          <t>Architecture</t>
        </is>
      </c>
      <c r="D12" s="20" t="inlineStr">
        <is>
          <t>Sam</t>
        </is>
      </c>
      <c r="E12" s="22" t="n">
        <v>46307</v>
      </c>
      <c r="F12" s="22" t="n">
        <v>46318</v>
      </c>
      <c r="G12" s="23">
        <f>IF(OR(E12="",F12=""),"",NETWORKDAYS(E12,F12))</f>
        <v/>
      </c>
      <c r="H12" s="24" t="n">
        <v>0</v>
      </c>
      <c r="I12" s="25">
        <f>IF(C12="","",IF(B12="Phase","",IF(H12&gt;=1,"Terminé",IF(AND(F12&lt;&gt;"",TODAY()&gt;F12),"En retard",IF(AND(E12&lt;&gt;"",TODAY()&gt;=E12),"En cours","À venir")))))</f>
        <v/>
      </c>
      <c r="J12" s="26">
        <f>IF(AND($B12="Jalon",$F12&gt;=J$5,$F12&lt;J$5+7),"◆","")</f>
        <v/>
      </c>
      <c r="K12" s="26">
        <f>IF(AND($B12="Jalon",$F12&gt;=K$5,$F12&lt;K$5+7),"◆","")</f>
        <v/>
      </c>
      <c r="L12" s="26">
        <f>IF(AND($B12="Jalon",$F12&gt;=L$5,$F12&lt;L$5+7),"◆","")</f>
        <v/>
      </c>
      <c r="M12" s="26">
        <f>IF(AND($B12="Jalon",$F12&gt;=M$5,$F12&lt;M$5+7),"◆","")</f>
        <v/>
      </c>
      <c r="N12" s="26">
        <f>IF(AND($B12="Jalon",$F12&gt;=N$5,$F12&lt;N$5+7),"◆","")</f>
        <v/>
      </c>
      <c r="O12" s="26">
        <f>IF(AND($B12="Jalon",$F12&gt;=O$5,$F12&lt;O$5+7),"◆","")</f>
        <v/>
      </c>
      <c r="P12" s="26">
        <f>IF(AND($B12="Jalon",$F12&gt;=P$5,$F12&lt;P$5+7),"◆","")</f>
        <v/>
      </c>
      <c r="Q12" s="26">
        <f>IF(AND($B12="Jalon",$F12&gt;=Q$5,$F12&lt;Q$5+7),"◆","")</f>
        <v/>
      </c>
      <c r="R12" s="26">
        <f>IF(AND($B12="Jalon",$F12&gt;=R$5,$F12&lt;R$5+7),"◆","")</f>
        <v/>
      </c>
      <c r="S12" s="26">
        <f>IF(AND($B12="Jalon",$F12&gt;=S$5,$F12&lt;S$5+7),"◆","")</f>
        <v/>
      </c>
      <c r="T12" s="26">
        <f>IF(AND($B12="Jalon",$F12&gt;=T$5,$F12&lt;T$5+7),"◆","")</f>
        <v/>
      </c>
      <c r="U12" s="26">
        <f>IF(AND($B12="Jalon",$F12&gt;=U$5,$F12&lt;U$5+7),"◆","")</f>
        <v/>
      </c>
      <c r="V12" s="26">
        <f>IF(AND($B12="Jalon",$F12&gt;=V$5,$F12&lt;V$5+7),"◆","")</f>
        <v/>
      </c>
      <c r="W12" s="26">
        <f>IF(AND($B12="Jalon",$F12&gt;=W$5,$F12&lt;W$5+7),"◆","")</f>
        <v/>
      </c>
      <c r="X12" s="26">
        <f>IF(AND($B12="Jalon",$F12&gt;=X$5,$F12&lt;X$5+7),"◆","")</f>
        <v/>
      </c>
      <c r="Y12" s="26">
        <f>IF(AND($B12="Jalon",$F12&gt;=Y$5,$F12&lt;Y$5+7),"◆","")</f>
        <v/>
      </c>
      <c r="Z12" s="26">
        <f>IF(AND($B12="Jalon",$F12&gt;=Z$5,$F12&lt;Z$5+7),"◆","")</f>
        <v/>
      </c>
      <c r="AA12" s="26">
        <f>IF(AND($B12="Jalon",$F12&gt;=AA$5,$F12&lt;AA$5+7),"◆","")</f>
        <v/>
      </c>
      <c r="AB12" s="26">
        <f>IF(AND($B12="Jalon",$F12&gt;=AB$5,$F12&lt;AB$5+7),"◆","")</f>
        <v/>
      </c>
      <c r="AC12" s="26">
        <f>IF(AND($B12="Jalon",$F12&gt;=AC$5,$F12&lt;AC$5+7),"◆","")</f>
        <v/>
      </c>
      <c r="AD12" s="26">
        <f>IF(AND($B12="Jalon",$F12&gt;=AD$5,$F12&lt;AD$5+7),"◆","")</f>
        <v/>
      </c>
      <c r="AE12" s="26">
        <f>IF(AND($B12="Jalon",$F12&gt;=AE$5,$F12&lt;AE$5+7),"◆","")</f>
        <v/>
      </c>
      <c r="AF12" s="26">
        <f>IF(AND($B12="Jalon",$F12&gt;=AF$5,$F12&lt;AF$5+7),"◆","")</f>
        <v/>
      </c>
      <c r="AG12" s="26">
        <f>IF(AND($B12="Jalon",$F12&gt;=AG$5,$F12&lt;AG$5+7),"◆","")</f>
        <v/>
      </c>
      <c r="AH12" s="26">
        <f>IF(AND($B12="Jalon",$F12&gt;=AH$5,$F12&lt;AH$5+7),"◆","")</f>
        <v/>
      </c>
      <c r="AI12" s="26">
        <f>IF(AND($B12="Jalon",$F12&gt;=AI$5,$F12&lt;AI$5+7),"◆","")</f>
        <v/>
      </c>
    </row>
    <row r="13">
      <c r="B13" s="20" t="inlineStr">
        <is>
          <t>Jalon</t>
        </is>
      </c>
      <c r="C13" s="20" t="inlineStr">
        <is>
          <t>Validation de la conception</t>
        </is>
      </c>
      <c r="D13" s="20" t="inlineStr">
        <is>
          <t>Alex</t>
        </is>
      </c>
      <c r="E13" s="22" t="n">
        <v>46318</v>
      </c>
      <c r="F13" s="22" t="n">
        <v>46318</v>
      </c>
      <c r="G13" s="23">
        <f>IF(OR(E13="",F13=""),"",NETWORKDAYS(E13,F13))</f>
        <v/>
      </c>
      <c r="H13" s="24" t="n">
        <v>0</v>
      </c>
      <c r="I13" s="25">
        <f>IF(C13="","",IF(B13="Phase","",IF(H13&gt;=1,"Terminé",IF(AND(F13&lt;&gt;"",TODAY()&gt;F13),"En retard",IF(AND(E13&lt;&gt;"",TODAY()&gt;=E13),"En cours","À venir")))))</f>
        <v/>
      </c>
      <c r="J13" s="26">
        <f>IF(AND($B13="Jalon",$F13&gt;=J$5,$F13&lt;J$5+7),"◆","")</f>
        <v/>
      </c>
      <c r="K13" s="26">
        <f>IF(AND($B13="Jalon",$F13&gt;=K$5,$F13&lt;K$5+7),"◆","")</f>
        <v/>
      </c>
      <c r="L13" s="26">
        <f>IF(AND($B13="Jalon",$F13&gt;=L$5,$F13&lt;L$5+7),"◆","")</f>
        <v/>
      </c>
      <c r="M13" s="26">
        <f>IF(AND($B13="Jalon",$F13&gt;=M$5,$F13&lt;M$5+7),"◆","")</f>
        <v/>
      </c>
      <c r="N13" s="26">
        <f>IF(AND($B13="Jalon",$F13&gt;=N$5,$F13&lt;N$5+7),"◆","")</f>
        <v/>
      </c>
      <c r="O13" s="26">
        <f>IF(AND($B13="Jalon",$F13&gt;=O$5,$F13&lt;O$5+7),"◆","")</f>
        <v/>
      </c>
      <c r="P13" s="26">
        <f>IF(AND($B13="Jalon",$F13&gt;=P$5,$F13&lt;P$5+7),"◆","")</f>
        <v/>
      </c>
      <c r="Q13" s="26">
        <f>IF(AND($B13="Jalon",$F13&gt;=Q$5,$F13&lt;Q$5+7),"◆","")</f>
        <v/>
      </c>
      <c r="R13" s="26">
        <f>IF(AND($B13="Jalon",$F13&gt;=R$5,$F13&lt;R$5+7),"◆","")</f>
        <v/>
      </c>
      <c r="S13" s="26">
        <f>IF(AND($B13="Jalon",$F13&gt;=S$5,$F13&lt;S$5+7),"◆","")</f>
        <v/>
      </c>
      <c r="T13" s="26">
        <f>IF(AND($B13="Jalon",$F13&gt;=T$5,$F13&lt;T$5+7),"◆","")</f>
        <v/>
      </c>
      <c r="U13" s="26">
        <f>IF(AND($B13="Jalon",$F13&gt;=U$5,$F13&lt;U$5+7),"◆","")</f>
        <v/>
      </c>
      <c r="V13" s="26">
        <f>IF(AND($B13="Jalon",$F13&gt;=V$5,$F13&lt;V$5+7),"◆","")</f>
        <v/>
      </c>
      <c r="W13" s="26">
        <f>IF(AND($B13="Jalon",$F13&gt;=W$5,$F13&lt;W$5+7),"◆","")</f>
        <v/>
      </c>
      <c r="X13" s="26">
        <f>IF(AND($B13="Jalon",$F13&gt;=X$5,$F13&lt;X$5+7),"◆","")</f>
        <v/>
      </c>
      <c r="Y13" s="26">
        <f>IF(AND($B13="Jalon",$F13&gt;=Y$5,$F13&lt;Y$5+7),"◆","")</f>
        <v/>
      </c>
      <c r="Z13" s="26">
        <f>IF(AND($B13="Jalon",$F13&gt;=Z$5,$F13&lt;Z$5+7),"◆","")</f>
        <v/>
      </c>
      <c r="AA13" s="26">
        <f>IF(AND($B13="Jalon",$F13&gt;=AA$5,$F13&lt;AA$5+7),"◆","")</f>
        <v/>
      </c>
      <c r="AB13" s="26">
        <f>IF(AND($B13="Jalon",$F13&gt;=AB$5,$F13&lt;AB$5+7),"◆","")</f>
        <v/>
      </c>
      <c r="AC13" s="26">
        <f>IF(AND($B13="Jalon",$F13&gt;=AC$5,$F13&lt;AC$5+7),"◆","")</f>
        <v/>
      </c>
      <c r="AD13" s="26">
        <f>IF(AND($B13="Jalon",$F13&gt;=AD$5,$F13&lt;AD$5+7),"◆","")</f>
        <v/>
      </c>
      <c r="AE13" s="26">
        <f>IF(AND($B13="Jalon",$F13&gt;=AE$5,$F13&lt;AE$5+7),"◆","")</f>
        <v/>
      </c>
      <c r="AF13" s="26">
        <f>IF(AND($B13="Jalon",$F13&gt;=AF$5,$F13&lt;AF$5+7),"◆","")</f>
        <v/>
      </c>
      <c r="AG13" s="26">
        <f>IF(AND($B13="Jalon",$F13&gt;=AG$5,$F13&lt;AG$5+7),"◆","")</f>
        <v/>
      </c>
      <c r="AH13" s="26">
        <f>IF(AND($B13="Jalon",$F13&gt;=AH$5,$F13&lt;AH$5+7),"◆","")</f>
        <v/>
      </c>
      <c r="AI13" s="26">
        <f>IF(AND($B13="Jalon",$F13&gt;=AI$5,$F13&lt;AI$5+7),"◆","")</f>
        <v/>
      </c>
    </row>
    <row r="14">
      <c r="B14" s="20" t="inlineStr">
        <is>
          <t>Phase</t>
        </is>
      </c>
      <c r="C14" s="21" t="inlineStr">
        <is>
          <t>Réalisation</t>
        </is>
      </c>
      <c r="D14" s="20" t="n"/>
      <c r="E14" s="22" t="n">
        <v>46321</v>
      </c>
      <c r="F14" s="22" t="n">
        <v>46360</v>
      </c>
      <c r="G14" s="23">
        <f>IF(OR(E14="",F14=""),"",NETWORKDAYS(E14,F14))</f>
        <v/>
      </c>
      <c r="H14" s="24" t="n"/>
      <c r="I14" s="25">
        <f>IF(C14="","",IF(B14="Phase","",IF(H14&gt;=1,"Terminé",IF(AND(F14&lt;&gt;"",TODAY()&gt;F14),"En retard",IF(AND(E14&lt;&gt;"",TODAY()&gt;=E14),"En cours","À venir")))))</f>
        <v/>
      </c>
      <c r="J14" s="26">
        <f>IF(AND($B14="Jalon",$F14&gt;=J$5,$F14&lt;J$5+7),"◆","")</f>
        <v/>
      </c>
      <c r="K14" s="26">
        <f>IF(AND($B14="Jalon",$F14&gt;=K$5,$F14&lt;K$5+7),"◆","")</f>
        <v/>
      </c>
      <c r="L14" s="26">
        <f>IF(AND($B14="Jalon",$F14&gt;=L$5,$F14&lt;L$5+7),"◆","")</f>
        <v/>
      </c>
      <c r="M14" s="26">
        <f>IF(AND($B14="Jalon",$F14&gt;=M$5,$F14&lt;M$5+7),"◆","")</f>
        <v/>
      </c>
      <c r="N14" s="26">
        <f>IF(AND($B14="Jalon",$F14&gt;=N$5,$F14&lt;N$5+7),"◆","")</f>
        <v/>
      </c>
      <c r="O14" s="26">
        <f>IF(AND($B14="Jalon",$F14&gt;=O$5,$F14&lt;O$5+7),"◆","")</f>
        <v/>
      </c>
      <c r="P14" s="26">
        <f>IF(AND($B14="Jalon",$F14&gt;=P$5,$F14&lt;P$5+7),"◆","")</f>
        <v/>
      </c>
      <c r="Q14" s="26">
        <f>IF(AND($B14="Jalon",$F14&gt;=Q$5,$F14&lt;Q$5+7),"◆","")</f>
        <v/>
      </c>
      <c r="R14" s="26">
        <f>IF(AND($B14="Jalon",$F14&gt;=R$5,$F14&lt;R$5+7),"◆","")</f>
        <v/>
      </c>
      <c r="S14" s="26">
        <f>IF(AND($B14="Jalon",$F14&gt;=S$5,$F14&lt;S$5+7),"◆","")</f>
        <v/>
      </c>
      <c r="T14" s="26">
        <f>IF(AND($B14="Jalon",$F14&gt;=T$5,$F14&lt;T$5+7),"◆","")</f>
        <v/>
      </c>
      <c r="U14" s="26">
        <f>IF(AND($B14="Jalon",$F14&gt;=U$5,$F14&lt;U$5+7),"◆","")</f>
        <v/>
      </c>
      <c r="V14" s="26">
        <f>IF(AND($B14="Jalon",$F14&gt;=V$5,$F14&lt;V$5+7),"◆","")</f>
        <v/>
      </c>
      <c r="W14" s="26">
        <f>IF(AND($B14="Jalon",$F14&gt;=W$5,$F14&lt;W$5+7),"◆","")</f>
        <v/>
      </c>
      <c r="X14" s="26">
        <f>IF(AND($B14="Jalon",$F14&gt;=X$5,$F14&lt;X$5+7),"◆","")</f>
        <v/>
      </c>
      <c r="Y14" s="26">
        <f>IF(AND($B14="Jalon",$F14&gt;=Y$5,$F14&lt;Y$5+7),"◆","")</f>
        <v/>
      </c>
      <c r="Z14" s="26">
        <f>IF(AND($B14="Jalon",$F14&gt;=Z$5,$F14&lt;Z$5+7),"◆","")</f>
        <v/>
      </c>
      <c r="AA14" s="26">
        <f>IF(AND($B14="Jalon",$F14&gt;=AA$5,$F14&lt;AA$5+7),"◆","")</f>
        <v/>
      </c>
      <c r="AB14" s="26">
        <f>IF(AND($B14="Jalon",$F14&gt;=AB$5,$F14&lt;AB$5+7),"◆","")</f>
        <v/>
      </c>
      <c r="AC14" s="26">
        <f>IF(AND($B14="Jalon",$F14&gt;=AC$5,$F14&lt;AC$5+7),"◆","")</f>
        <v/>
      </c>
      <c r="AD14" s="26">
        <f>IF(AND($B14="Jalon",$F14&gt;=AD$5,$F14&lt;AD$5+7),"◆","")</f>
        <v/>
      </c>
      <c r="AE14" s="26">
        <f>IF(AND($B14="Jalon",$F14&gt;=AE$5,$F14&lt;AE$5+7),"◆","")</f>
        <v/>
      </c>
      <c r="AF14" s="26">
        <f>IF(AND($B14="Jalon",$F14&gt;=AF$5,$F14&lt;AF$5+7),"◆","")</f>
        <v/>
      </c>
      <c r="AG14" s="26">
        <f>IF(AND($B14="Jalon",$F14&gt;=AG$5,$F14&lt;AG$5+7),"◆","")</f>
        <v/>
      </c>
      <c r="AH14" s="26">
        <f>IF(AND($B14="Jalon",$F14&gt;=AH$5,$F14&lt;AH$5+7),"◆","")</f>
        <v/>
      </c>
      <c r="AI14" s="26">
        <f>IF(AND($B14="Jalon",$F14&gt;=AI$5,$F14&lt;AI$5+7),"◆","")</f>
        <v/>
      </c>
    </row>
    <row r="15">
      <c r="B15" s="20" t="inlineStr">
        <is>
          <t>Tâche</t>
        </is>
      </c>
      <c r="C15" s="20" t="inlineStr">
        <is>
          <t>Itération 1</t>
        </is>
      </c>
      <c r="D15" s="20" t="inlineStr">
        <is>
          <t>Sam</t>
        </is>
      </c>
      <c r="E15" s="22" t="n">
        <v>46321</v>
      </c>
      <c r="F15" s="22" t="n">
        <v>46339</v>
      </c>
      <c r="G15" s="23">
        <f>IF(OR(E15="",F15=""),"",NETWORKDAYS(E15,F15))</f>
        <v/>
      </c>
      <c r="H15" s="24" t="n">
        <v>0</v>
      </c>
      <c r="I15" s="25">
        <f>IF(C15="","",IF(B15="Phase","",IF(H15&gt;=1,"Terminé",IF(AND(F15&lt;&gt;"",TODAY()&gt;F15),"En retard",IF(AND(E15&lt;&gt;"",TODAY()&gt;=E15),"En cours","À venir")))))</f>
        <v/>
      </c>
      <c r="J15" s="26">
        <f>IF(AND($B15="Jalon",$F15&gt;=J$5,$F15&lt;J$5+7),"◆","")</f>
        <v/>
      </c>
      <c r="K15" s="26">
        <f>IF(AND($B15="Jalon",$F15&gt;=K$5,$F15&lt;K$5+7),"◆","")</f>
        <v/>
      </c>
      <c r="L15" s="26">
        <f>IF(AND($B15="Jalon",$F15&gt;=L$5,$F15&lt;L$5+7),"◆","")</f>
        <v/>
      </c>
      <c r="M15" s="26">
        <f>IF(AND($B15="Jalon",$F15&gt;=M$5,$F15&lt;M$5+7),"◆","")</f>
        <v/>
      </c>
      <c r="N15" s="26">
        <f>IF(AND($B15="Jalon",$F15&gt;=N$5,$F15&lt;N$5+7),"◆","")</f>
        <v/>
      </c>
      <c r="O15" s="26">
        <f>IF(AND($B15="Jalon",$F15&gt;=O$5,$F15&lt;O$5+7),"◆","")</f>
        <v/>
      </c>
      <c r="P15" s="26">
        <f>IF(AND($B15="Jalon",$F15&gt;=P$5,$F15&lt;P$5+7),"◆","")</f>
        <v/>
      </c>
      <c r="Q15" s="26">
        <f>IF(AND($B15="Jalon",$F15&gt;=Q$5,$F15&lt;Q$5+7),"◆","")</f>
        <v/>
      </c>
      <c r="R15" s="26">
        <f>IF(AND($B15="Jalon",$F15&gt;=R$5,$F15&lt;R$5+7),"◆","")</f>
        <v/>
      </c>
      <c r="S15" s="26">
        <f>IF(AND($B15="Jalon",$F15&gt;=S$5,$F15&lt;S$5+7),"◆","")</f>
        <v/>
      </c>
      <c r="T15" s="26">
        <f>IF(AND($B15="Jalon",$F15&gt;=T$5,$F15&lt;T$5+7),"◆","")</f>
        <v/>
      </c>
      <c r="U15" s="26">
        <f>IF(AND($B15="Jalon",$F15&gt;=U$5,$F15&lt;U$5+7),"◆","")</f>
        <v/>
      </c>
      <c r="V15" s="26">
        <f>IF(AND($B15="Jalon",$F15&gt;=V$5,$F15&lt;V$5+7),"◆","")</f>
        <v/>
      </c>
      <c r="W15" s="26">
        <f>IF(AND($B15="Jalon",$F15&gt;=W$5,$F15&lt;W$5+7),"◆","")</f>
        <v/>
      </c>
      <c r="X15" s="26">
        <f>IF(AND($B15="Jalon",$F15&gt;=X$5,$F15&lt;X$5+7),"◆","")</f>
        <v/>
      </c>
      <c r="Y15" s="26">
        <f>IF(AND($B15="Jalon",$F15&gt;=Y$5,$F15&lt;Y$5+7),"◆","")</f>
        <v/>
      </c>
      <c r="Z15" s="26">
        <f>IF(AND($B15="Jalon",$F15&gt;=Z$5,$F15&lt;Z$5+7),"◆","")</f>
        <v/>
      </c>
      <c r="AA15" s="26">
        <f>IF(AND($B15="Jalon",$F15&gt;=AA$5,$F15&lt;AA$5+7),"◆","")</f>
        <v/>
      </c>
      <c r="AB15" s="26">
        <f>IF(AND($B15="Jalon",$F15&gt;=AB$5,$F15&lt;AB$5+7),"◆","")</f>
        <v/>
      </c>
      <c r="AC15" s="26">
        <f>IF(AND($B15="Jalon",$F15&gt;=AC$5,$F15&lt;AC$5+7),"◆","")</f>
        <v/>
      </c>
      <c r="AD15" s="26">
        <f>IF(AND($B15="Jalon",$F15&gt;=AD$5,$F15&lt;AD$5+7),"◆","")</f>
        <v/>
      </c>
      <c r="AE15" s="26">
        <f>IF(AND($B15="Jalon",$F15&gt;=AE$5,$F15&lt;AE$5+7),"◆","")</f>
        <v/>
      </c>
      <c r="AF15" s="26">
        <f>IF(AND($B15="Jalon",$F15&gt;=AF$5,$F15&lt;AF$5+7),"◆","")</f>
        <v/>
      </c>
      <c r="AG15" s="26">
        <f>IF(AND($B15="Jalon",$F15&gt;=AG$5,$F15&lt;AG$5+7),"◆","")</f>
        <v/>
      </c>
      <c r="AH15" s="26">
        <f>IF(AND($B15="Jalon",$F15&gt;=AH$5,$F15&lt;AH$5+7),"◆","")</f>
        <v/>
      </c>
      <c r="AI15" s="26">
        <f>IF(AND($B15="Jalon",$F15&gt;=AI$5,$F15&lt;AI$5+7),"◆","")</f>
        <v/>
      </c>
    </row>
    <row r="16">
      <c r="B16" s="20" t="inlineStr">
        <is>
          <t>Tâche</t>
        </is>
      </c>
      <c r="C16" s="20" t="inlineStr">
        <is>
          <t>Itération 2</t>
        </is>
      </c>
      <c r="D16" s="20" t="inlineStr">
        <is>
          <t>Sam</t>
        </is>
      </c>
      <c r="E16" s="22" t="n">
        <v>46342</v>
      </c>
      <c r="F16" s="22" t="n">
        <v>46360</v>
      </c>
      <c r="G16" s="23">
        <f>IF(OR(E16="",F16=""),"",NETWORKDAYS(E16,F16))</f>
        <v/>
      </c>
      <c r="H16" s="24" t="n">
        <v>0</v>
      </c>
      <c r="I16" s="25">
        <f>IF(C16="","",IF(B16="Phase","",IF(H16&gt;=1,"Terminé",IF(AND(F16&lt;&gt;"",TODAY()&gt;F16),"En retard",IF(AND(E16&lt;&gt;"",TODAY()&gt;=E16),"En cours","À venir")))))</f>
        <v/>
      </c>
      <c r="J16" s="26">
        <f>IF(AND($B16="Jalon",$F16&gt;=J$5,$F16&lt;J$5+7),"◆","")</f>
        <v/>
      </c>
      <c r="K16" s="26">
        <f>IF(AND($B16="Jalon",$F16&gt;=K$5,$F16&lt;K$5+7),"◆","")</f>
        <v/>
      </c>
      <c r="L16" s="26">
        <f>IF(AND($B16="Jalon",$F16&gt;=L$5,$F16&lt;L$5+7),"◆","")</f>
        <v/>
      </c>
      <c r="M16" s="26">
        <f>IF(AND($B16="Jalon",$F16&gt;=M$5,$F16&lt;M$5+7),"◆","")</f>
        <v/>
      </c>
      <c r="N16" s="26">
        <f>IF(AND($B16="Jalon",$F16&gt;=N$5,$F16&lt;N$5+7),"◆","")</f>
        <v/>
      </c>
      <c r="O16" s="26">
        <f>IF(AND($B16="Jalon",$F16&gt;=O$5,$F16&lt;O$5+7),"◆","")</f>
        <v/>
      </c>
      <c r="P16" s="26">
        <f>IF(AND($B16="Jalon",$F16&gt;=P$5,$F16&lt;P$5+7),"◆","")</f>
        <v/>
      </c>
      <c r="Q16" s="26">
        <f>IF(AND($B16="Jalon",$F16&gt;=Q$5,$F16&lt;Q$5+7),"◆","")</f>
        <v/>
      </c>
      <c r="R16" s="26">
        <f>IF(AND($B16="Jalon",$F16&gt;=R$5,$F16&lt;R$5+7),"◆","")</f>
        <v/>
      </c>
      <c r="S16" s="26">
        <f>IF(AND($B16="Jalon",$F16&gt;=S$5,$F16&lt;S$5+7),"◆","")</f>
        <v/>
      </c>
      <c r="T16" s="26">
        <f>IF(AND($B16="Jalon",$F16&gt;=T$5,$F16&lt;T$5+7),"◆","")</f>
        <v/>
      </c>
      <c r="U16" s="26">
        <f>IF(AND($B16="Jalon",$F16&gt;=U$5,$F16&lt;U$5+7),"◆","")</f>
        <v/>
      </c>
      <c r="V16" s="26">
        <f>IF(AND($B16="Jalon",$F16&gt;=V$5,$F16&lt;V$5+7),"◆","")</f>
        <v/>
      </c>
      <c r="W16" s="26">
        <f>IF(AND($B16="Jalon",$F16&gt;=W$5,$F16&lt;W$5+7),"◆","")</f>
        <v/>
      </c>
      <c r="X16" s="26">
        <f>IF(AND($B16="Jalon",$F16&gt;=X$5,$F16&lt;X$5+7),"◆","")</f>
        <v/>
      </c>
      <c r="Y16" s="26">
        <f>IF(AND($B16="Jalon",$F16&gt;=Y$5,$F16&lt;Y$5+7),"◆","")</f>
        <v/>
      </c>
      <c r="Z16" s="26">
        <f>IF(AND($B16="Jalon",$F16&gt;=Z$5,$F16&lt;Z$5+7),"◆","")</f>
        <v/>
      </c>
      <c r="AA16" s="26">
        <f>IF(AND($B16="Jalon",$F16&gt;=AA$5,$F16&lt;AA$5+7),"◆","")</f>
        <v/>
      </c>
      <c r="AB16" s="26">
        <f>IF(AND($B16="Jalon",$F16&gt;=AB$5,$F16&lt;AB$5+7),"◆","")</f>
        <v/>
      </c>
      <c r="AC16" s="26">
        <f>IF(AND($B16="Jalon",$F16&gt;=AC$5,$F16&lt;AC$5+7),"◆","")</f>
        <v/>
      </c>
      <c r="AD16" s="26">
        <f>IF(AND($B16="Jalon",$F16&gt;=AD$5,$F16&lt;AD$5+7),"◆","")</f>
        <v/>
      </c>
      <c r="AE16" s="26">
        <f>IF(AND($B16="Jalon",$F16&gt;=AE$5,$F16&lt;AE$5+7),"◆","")</f>
        <v/>
      </c>
      <c r="AF16" s="26">
        <f>IF(AND($B16="Jalon",$F16&gt;=AF$5,$F16&lt;AF$5+7),"◆","")</f>
        <v/>
      </c>
      <c r="AG16" s="26">
        <f>IF(AND($B16="Jalon",$F16&gt;=AG$5,$F16&lt;AG$5+7),"◆","")</f>
        <v/>
      </c>
      <c r="AH16" s="26">
        <f>IF(AND($B16="Jalon",$F16&gt;=AH$5,$F16&lt;AH$5+7),"◆","")</f>
        <v/>
      </c>
      <c r="AI16" s="26">
        <f>IF(AND($B16="Jalon",$F16&gt;=AI$5,$F16&lt;AI$5+7),"◆","")</f>
        <v/>
      </c>
    </row>
    <row r="17">
      <c r="B17" s="20" t="inlineStr">
        <is>
          <t>Phase</t>
        </is>
      </c>
      <c r="C17" s="21" t="inlineStr">
        <is>
          <t>Tests et clôture</t>
        </is>
      </c>
      <c r="D17" s="20" t="n"/>
      <c r="E17" s="22" t="n">
        <v>46363</v>
      </c>
      <c r="F17" s="22" t="n">
        <v>46374</v>
      </c>
      <c r="G17" s="23">
        <f>IF(OR(E17="",F17=""),"",NETWORKDAYS(E17,F17))</f>
        <v/>
      </c>
      <c r="H17" s="24" t="n"/>
      <c r="I17" s="25">
        <f>IF(C17="","",IF(B17="Phase","",IF(H17&gt;=1,"Terminé",IF(AND(F17&lt;&gt;"",TODAY()&gt;F17),"En retard",IF(AND(E17&lt;&gt;"",TODAY()&gt;=E17),"En cours","À venir")))))</f>
        <v/>
      </c>
      <c r="J17" s="26">
        <f>IF(AND($B17="Jalon",$F17&gt;=J$5,$F17&lt;J$5+7),"◆","")</f>
        <v/>
      </c>
      <c r="K17" s="26">
        <f>IF(AND($B17="Jalon",$F17&gt;=K$5,$F17&lt;K$5+7),"◆","")</f>
        <v/>
      </c>
      <c r="L17" s="26">
        <f>IF(AND($B17="Jalon",$F17&gt;=L$5,$F17&lt;L$5+7),"◆","")</f>
        <v/>
      </c>
      <c r="M17" s="26">
        <f>IF(AND($B17="Jalon",$F17&gt;=M$5,$F17&lt;M$5+7),"◆","")</f>
        <v/>
      </c>
      <c r="N17" s="26">
        <f>IF(AND($B17="Jalon",$F17&gt;=N$5,$F17&lt;N$5+7),"◆","")</f>
        <v/>
      </c>
      <c r="O17" s="26">
        <f>IF(AND($B17="Jalon",$F17&gt;=O$5,$F17&lt;O$5+7),"◆","")</f>
        <v/>
      </c>
      <c r="P17" s="26">
        <f>IF(AND($B17="Jalon",$F17&gt;=P$5,$F17&lt;P$5+7),"◆","")</f>
        <v/>
      </c>
      <c r="Q17" s="26">
        <f>IF(AND($B17="Jalon",$F17&gt;=Q$5,$F17&lt;Q$5+7),"◆","")</f>
        <v/>
      </c>
      <c r="R17" s="26">
        <f>IF(AND($B17="Jalon",$F17&gt;=R$5,$F17&lt;R$5+7),"◆","")</f>
        <v/>
      </c>
      <c r="S17" s="26">
        <f>IF(AND($B17="Jalon",$F17&gt;=S$5,$F17&lt;S$5+7),"◆","")</f>
        <v/>
      </c>
      <c r="T17" s="26">
        <f>IF(AND($B17="Jalon",$F17&gt;=T$5,$F17&lt;T$5+7),"◆","")</f>
        <v/>
      </c>
      <c r="U17" s="26">
        <f>IF(AND($B17="Jalon",$F17&gt;=U$5,$F17&lt;U$5+7),"◆","")</f>
        <v/>
      </c>
      <c r="V17" s="26">
        <f>IF(AND($B17="Jalon",$F17&gt;=V$5,$F17&lt;V$5+7),"◆","")</f>
        <v/>
      </c>
      <c r="W17" s="26">
        <f>IF(AND($B17="Jalon",$F17&gt;=W$5,$F17&lt;W$5+7),"◆","")</f>
        <v/>
      </c>
      <c r="X17" s="26">
        <f>IF(AND($B17="Jalon",$F17&gt;=X$5,$F17&lt;X$5+7),"◆","")</f>
        <v/>
      </c>
      <c r="Y17" s="26">
        <f>IF(AND($B17="Jalon",$F17&gt;=Y$5,$F17&lt;Y$5+7),"◆","")</f>
        <v/>
      </c>
      <c r="Z17" s="26">
        <f>IF(AND($B17="Jalon",$F17&gt;=Z$5,$F17&lt;Z$5+7),"◆","")</f>
        <v/>
      </c>
      <c r="AA17" s="26">
        <f>IF(AND($B17="Jalon",$F17&gt;=AA$5,$F17&lt;AA$5+7),"◆","")</f>
        <v/>
      </c>
      <c r="AB17" s="26">
        <f>IF(AND($B17="Jalon",$F17&gt;=AB$5,$F17&lt;AB$5+7),"◆","")</f>
        <v/>
      </c>
      <c r="AC17" s="26">
        <f>IF(AND($B17="Jalon",$F17&gt;=AC$5,$F17&lt;AC$5+7),"◆","")</f>
        <v/>
      </c>
      <c r="AD17" s="26">
        <f>IF(AND($B17="Jalon",$F17&gt;=AD$5,$F17&lt;AD$5+7),"◆","")</f>
        <v/>
      </c>
      <c r="AE17" s="26">
        <f>IF(AND($B17="Jalon",$F17&gt;=AE$5,$F17&lt;AE$5+7),"◆","")</f>
        <v/>
      </c>
      <c r="AF17" s="26">
        <f>IF(AND($B17="Jalon",$F17&gt;=AF$5,$F17&lt;AF$5+7),"◆","")</f>
        <v/>
      </c>
      <c r="AG17" s="26">
        <f>IF(AND($B17="Jalon",$F17&gt;=AG$5,$F17&lt;AG$5+7),"◆","")</f>
        <v/>
      </c>
      <c r="AH17" s="26">
        <f>IF(AND($B17="Jalon",$F17&gt;=AH$5,$F17&lt;AH$5+7),"◆","")</f>
        <v/>
      </c>
      <c r="AI17" s="26">
        <f>IF(AND($B17="Jalon",$F17&gt;=AI$5,$F17&lt;AI$5+7),"◆","")</f>
        <v/>
      </c>
    </row>
    <row r="18">
      <c r="B18" s="20" t="inlineStr">
        <is>
          <t>Tâche</t>
        </is>
      </c>
      <c r="C18" s="20" t="inlineStr">
        <is>
          <t>Tests utilisateurs</t>
        </is>
      </c>
      <c r="D18" s="20" t="inlineStr">
        <is>
          <t>Noa</t>
        </is>
      </c>
      <c r="E18" s="22" t="n">
        <v>46363</v>
      </c>
      <c r="F18" s="22" t="n">
        <v>46367</v>
      </c>
      <c r="G18" s="23">
        <f>IF(OR(E18="",F18=""),"",NETWORKDAYS(E18,F18))</f>
        <v/>
      </c>
      <c r="H18" s="24" t="n">
        <v>0</v>
      </c>
      <c r="I18" s="25">
        <f>IF(C18="","",IF(B18="Phase","",IF(H18&gt;=1,"Terminé",IF(AND(F18&lt;&gt;"",TODAY()&gt;F18),"En retard",IF(AND(E18&lt;&gt;"",TODAY()&gt;=E18),"En cours","À venir")))))</f>
        <v/>
      </c>
      <c r="J18" s="26">
        <f>IF(AND($B18="Jalon",$F18&gt;=J$5,$F18&lt;J$5+7),"◆","")</f>
        <v/>
      </c>
      <c r="K18" s="26">
        <f>IF(AND($B18="Jalon",$F18&gt;=K$5,$F18&lt;K$5+7),"◆","")</f>
        <v/>
      </c>
      <c r="L18" s="26">
        <f>IF(AND($B18="Jalon",$F18&gt;=L$5,$F18&lt;L$5+7),"◆","")</f>
        <v/>
      </c>
      <c r="M18" s="26">
        <f>IF(AND($B18="Jalon",$F18&gt;=M$5,$F18&lt;M$5+7),"◆","")</f>
        <v/>
      </c>
      <c r="N18" s="26">
        <f>IF(AND($B18="Jalon",$F18&gt;=N$5,$F18&lt;N$5+7),"◆","")</f>
        <v/>
      </c>
      <c r="O18" s="26">
        <f>IF(AND($B18="Jalon",$F18&gt;=O$5,$F18&lt;O$5+7),"◆","")</f>
        <v/>
      </c>
      <c r="P18" s="26">
        <f>IF(AND($B18="Jalon",$F18&gt;=P$5,$F18&lt;P$5+7),"◆","")</f>
        <v/>
      </c>
      <c r="Q18" s="26">
        <f>IF(AND($B18="Jalon",$F18&gt;=Q$5,$F18&lt;Q$5+7),"◆","")</f>
        <v/>
      </c>
      <c r="R18" s="26">
        <f>IF(AND($B18="Jalon",$F18&gt;=R$5,$F18&lt;R$5+7),"◆","")</f>
        <v/>
      </c>
      <c r="S18" s="26">
        <f>IF(AND($B18="Jalon",$F18&gt;=S$5,$F18&lt;S$5+7),"◆","")</f>
        <v/>
      </c>
      <c r="T18" s="26">
        <f>IF(AND($B18="Jalon",$F18&gt;=T$5,$F18&lt;T$5+7),"◆","")</f>
        <v/>
      </c>
      <c r="U18" s="26">
        <f>IF(AND($B18="Jalon",$F18&gt;=U$5,$F18&lt;U$5+7),"◆","")</f>
        <v/>
      </c>
      <c r="V18" s="26">
        <f>IF(AND($B18="Jalon",$F18&gt;=V$5,$F18&lt;V$5+7),"◆","")</f>
        <v/>
      </c>
      <c r="W18" s="26">
        <f>IF(AND($B18="Jalon",$F18&gt;=W$5,$F18&lt;W$5+7),"◆","")</f>
        <v/>
      </c>
      <c r="X18" s="26">
        <f>IF(AND($B18="Jalon",$F18&gt;=X$5,$F18&lt;X$5+7),"◆","")</f>
        <v/>
      </c>
      <c r="Y18" s="26">
        <f>IF(AND($B18="Jalon",$F18&gt;=Y$5,$F18&lt;Y$5+7),"◆","")</f>
        <v/>
      </c>
      <c r="Z18" s="26">
        <f>IF(AND($B18="Jalon",$F18&gt;=Z$5,$F18&lt;Z$5+7),"◆","")</f>
        <v/>
      </c>
      <c r="AA18" s="26">
        <f>IF(AND($B18="Jalon",$F18&gt;=AA$5,$F18&lt;AA$5+7),"◆","")</f>
        <v/>
      </c>
      <c r="AB18" s="26">
        <f>IF(AND($B18="Jalon",$F18&gt;=AB$5,$F18&lt;AB$5+7),"◆","")</f>
        <v/>
      </c>
      <c r="AC18" s="26">
        <f>IF(AND($B18="Jalon",$F18&gt;=AC$5,$F18&lt;AC$5+7),"◆","")</f>
        <v/>
      </c>
      <c r="AD18" s="26">
        <f>IF(AND($B18="Jalon",$F18&gt;=AD$5,$F18&lt;AD$5+7),"◆","")</f>
        <v/>
      </c>
      <c r="AE18" s="26">
        <f>IF(AND($B18="Jalon",$F18&gt;=AE$5,$F18&lt;AE$5+7),"◆","")</f>
        <v/>
      </c>
      <c r="AF18" s="26">
        <f>IF(AND($B18="Jalon",$F18&gt;=AF$5,$F18&lt;AF$5+7),"◆","")</f>
        <v/>
      </c>
      <c r="AG18" s="26">
        <f>IF(AND($B18="Jalon",$F18&gt;=AG$5,$F18&lt;AG$5+7),"◆","")</f>
        <v/>
      </c>
      <c r="AH18" s="26">
        <f>IF(AND($B18="Jalon",$F18&gt;=AH$5,$F18&lt;AH$5+7),"◆","")</f>
        <v/>
      </c>
      <c r="AI18" s="26">
        <f>IF(AND($B18="Jalon",$F18&gt;=AI$5,$F18&lt;AI$5+7),"◆","")</f>
        <v/>
      </c>
    </row>
    <row r="19">
      <c r="B19" s="20" t="inlineStr">
        <is>
          <t>Tâche</t>
        </is>
      </c>
      <c r="C19" s="20" t="inlineStr">
        <is>
          <t>Rapport et présentation</t>
        </is>
      </c>
      <c r="D19" s="20" t="inlineStr">
        <is>
          <t>Alex</t>
        </is>
      </c>
      <c r="E19" s="22" t="n">
        <v>46363</v>
      </c>
      <c r="F19" s="22" t="n">
        <v>46374</v>
      </c>
      <c r="G19" s="23">
        <f>IF(OR(E19="",F19=""),"",NETWORKDAYS(E19,F19))</f>
        <v/>
      </c>
      <c r="H19" s="24" t="n">
        <v>0</v>
      </c>
      <c r="I19" s="25">
        <f>IF(C19="","",IF(B19="Phase","",IF(H19&gt;=1,"Terminé",IF(AND(F19&lt;&gt;"",TODAY()&gt;F19),"En retard",IF(AND(E19&lt;&gt;"",TODAY()&gt;=E19),"En cours","À venir")))))</f>
        <v/>
      </c>
      <c r="J19" s="26">
        <f>IF(AND($B19="Jalon",$F19&gt;=J$5,$F19&lt;J$5+7),"◆","")</f>
        <v/>
      </c>
      <c r="K19" s="26">
        <f>IF(AND($B19="Jalon",$F19&gt;=K$5,$F19&lt;K$5+7),"◆","")</f>
        <v/>
      </c>
      <c r="L19" s="26">
        <f>IF(AND($B19="Jalon",$F19&gt;=L$5,$F19&lt;L$5+7),"◆","")</f>
        <v/>
      </c>
      <c r="M19" s="26">
        <f>IF(AND($B19="Jalon",$F19&gt;=M$5,$F19&lt;M$5+7),"◆","")</f>
        <v/>
      </c>
      <c r="N19" s="26">
        <f>IF(AND($B19="Jalon",$F19&gt;=N$5,$F19&lt;N$5+7),"◆","")</f>
        <v/>
      </c>
      <c r="O19" s="26">
        <f>IF(AND($B19="Jalon",$F19&gt;=O$5,$F19&lt;O$5+7),"◆","")</f>
        <v/>
      </c>
      <c r="P19" s="26">
        <f>IF(AND($B19="Jalon",$F19&gt;=P$5,$F19&lt;P$5+7),"◆","")</f>
        <v/>
      </c>
      <c r="Q19" s="26">
        <f>IF(AND($B19="Jalon",$F19&gt;=Q$5,$F19&lt;Q$5+7),"◆","")</f>
        <v/>
      </c>
      <c r="R19" s="26">
        <f>IF(AND($B19="Jalon",$F19&gt;=R$5,$F19&lt;R$5+7),"◆","")</f>
        <v/>
      </c>
      <c r="S19" s="26">
        <f>IF(AND($B19="Jalon",$F19&gt;=S$5,$F19&lt;S$5+7),"◆","")</f>
        <v/>
      </c>
      <c r="T19" s="26">
        <f>IF(AND($B19="Jalon",$F19&gt;=T$5,$F19&lt;T$5+7),"◆","")</f>
        <v/>
      </c>
      <c r="U19" s="26">
        <f>IF(AND($B19="Jalon",$F19&gt;=U$5,$F19&lt;U$5+7),"◆","")</f>
        <v/>
      </c>
      <c r="V19" s="26">
        <f>IF(AND($B19="Jalon",$F19&gt;=V$5,$F19&lt;V$5+7),"◆","")</f>
        <v/>
      </c>
      <c r="W19" s="26">
        <f>IF(AND($B19="Jalon",$F19&gt;=W$5,$F19&lt;W$5+7),"◆","")</f>
        <v/>
      </c>
      <c r="X19" s="26">
        <f>IF(AND($B19="Jalon",$F19&gt;=X$5,$F19&lt;X$5+7),"◆","")</f>
        <v/>
      </c>
      <c r="Y19" s="26">
        <f>IF(AND($B19="Jalon",$F19&gt;=Y$5,$F19&lt;Y$5+7),"◆","")</f>
        <v/>
      </c>
      <c r="Z19" s="26">
        <f>IF(AND($B19="Jalon",$F19&gt;=Z$5,$F19&lt;Z$5+7),"◆","")</f>
        <v/>
      </c>
      <c r="AA19" s="26">
        <f>IF(AND($B19="Jalon",$F19&gt;=AA$5,$F19&lt;AA$5+7),"◆","")</f>
        <v/>
      </c>
      <c r="AB19" s="26">
        <f>IF(AND($B19="Jalon",$F19&gt;=AB$5,$F19&lt;AB$5+7),"◆","")</f>
        <v/>
      </c>
      <c r="AC19" s="26">
        <f>IF(AND($B19="Jalon",$F19&gt;=AC$5,$F19&lt;AC$5+7),"◆","")</f>
        <v/>
      </c>
      <c r="AD19" s="26">
        <f>IF(AND($B19="Jalon",$F19&gt;=AD$5,$F19&lt;AD$5+7),"◆","")</f>
        <v/>
      </c>
      <c r="AE19" s="26">
        <f>IF(AND($B19="Jalon",$F19&gt;=AE$5,$F19&lt;AE$5+7),"◆","")</f>
        <v/>
      </c>
      <c r="AF19" s="26">
        <f>IF(AND($B19="Jalon",$F19&gt;=AF$5,$F19&lt;AF$5+7),"◆","")</f>
        <v/>
      </c>
      <c r="AG19" s="26">
        <f>IF(AND($B19="Jalon",$F19&gt;=AG$5,$F19&lt;AG$5+7),"◆","")</f>
        <v/>
      </c>
      <c r="AH19" s="26">
        <f>IF(AND($B19="Jalon",$F19&gt;=AH$5,$F19&lt;AH$5+7),"◆","")</f>
        <v/>
      </c>
      <c r="AI19" s="26">
        <f>IF(AND($B19="Jalon",$F19&gt;=AI$5,$F19&lt;AI$5+7),"◆","")</f>
        <v/>
      </c>
    </row>
    <row r="20">
      <c r="B20" s="20" t="inlineStr">
        <is>
          <t>Jalon</t>
        </is>
      </c>
      <c r="C20" s="20" t="inlineStr">
        <is>
          <t>Rendu final</t>
        </is>
      </c>
      <c r="D20" s="20" t="inlineStr">
        <is>
          <t>Alex</t>
        </is>
      </c>
      <c r="E20" s="22" t="n">
        <v>46374</v>
      </c>
      <c r="F20" s="22" t="n">
        <v>46374</v>
      </c>
      <c r="G20" s="23">
        <f>IF(OR(E20="",F20=""),"",NETWORKDAYS(E20,F20))</f>
        <v/>
      </c>
      <c r="H20" s="24" t="n">
        <v>0</v>
      </c>
      <c r="I20" s="25">
        <f>IF(C20="","",IF(B20="Phase","",IF(H20&gt;=1,"Terminé",IF(AND(F20&lt;&gt;"",TODAY()&gt;F20),"En retard",IF(AND(E20&lt;&gt;"",TODAY()&gt;=E20),"En cours","À venir")))))</f>
        <v/>
      </c>
      <c r="J20" s="26">
        <f>IF(AND($B20="Jalon",$F20&gt;=J$5,$F20&lt;J$5+7),"◆","")</f>
        <v/>
      </c>
      <c r="K20" s="26">
        <f>IF(AND($B20="Jalon",$F20&gt;=K$5,$F20&lt;K$5+7),"◆","")</f>
        <v/>
      </c>
      <c r="L20" s="26">
        <f>IF(AND($B20="Jalon",$F20&gt;=L$5,$F20&lt;L$5+7),"◆","")</f>
        <v/>
      </c>
      <c r="M20" s="26">
        <f>IF(AND($B20="Jalon",$F20&gt;=M$5,$F20&lt;M$5+7),"◆","")</f>
        <v/>
      </c>
      <c r="N20" s="26">
        <f>IF(AND($B20="Jalon",$F20&gt;=N$5,$F20&lt;N$5+7),"◆","")</f>
        <v/>
      </c>
      <c r="O20" s="26">
        <f>IF(AND($B20="Jalon",$F20&gt;=O$5,$F20&lt;O$5+7),"◆","")</f>
        <v/>
      </c>
      <c r="P20" s="26">
        <f>IF(AND($B20="Jalon",$F20&gt;=P$5,$F20&lt;P$5+7),"◆","")</f>
        <v/>
      </c>
      <c r="Q20" s="26">
        <f>IF(AND($B20="Jalon",$F20&gt;=Q$5,$F20&lt;Q$5+7),"◆","")</f>
        <v/>
      </c>
      <c r="R20" s="26">
        <f>IF(AND($B20="Jalon",$F20&gt;=R$5,$F20&lt;R$5+7),"◆","")</f>
        <v/>
      </c>
      <c r="S20" s="26">
        <f>IF(AND($B20="Jalon",$F20&gt;=S$5,$F20&lt;S$5+7),"◆","")</f>
        <v/>
      </c>
      <c r="T20" s="26">
        <f>IF(AND($B20="Jalon",$F20&gt;=T$5,$F20&lt;T$5+7),"◆","")</f>
        <v/>
      </c>
      <c r="U20" s="26">
        <f>IF(AND($B20="Jalon",$F20&gt;=U$5,$F20&lt;U$5+7),"◆","")</f>
        <v/>
      </c>
      <c r="V20" s="26">
        <f>IF(AND($B20="Jalon",$F20&gt;=V$5,$F20&lt;V$5+7),"◆","")</f>
        <v/>
      </c>
      <c r="W20" s="26">
        <f>IF(AND($B20="Jalon",$F20&gt;=W$5,$F20&lt;W$5+7),"◆","")</f>
        <v/>
      </c>
      <c r="X20" s="26">
        <f>IF(AND($B20="Jalon",$F20&gt;=X$5,$F20&lt;X$5+7),"◆","")</f>
        <v/>
      </c>
      <c r="Y20" s="26">
        <f>IF(AND($B20="Jalon",$F20&gt;=Y$5,$F20&lt;Y$5+7),"◆","")</f>
        <v/>
      </c>
      <c r="Z20" s="26">
        <f>IF(AND($B20="Jalon",$F20&gt;=Z$5,$F20&lt;Z$5+7),"◆","")</f>
        <v/>
      </c>
      <c r="AA20" s="26">
        <f>IF(AND($B20="Jalon",$F20&gt;=AA$5,$F20&lt;AA$5+7),"◆","")</f>
        <v/>
      </c>
      <c r="AB20" s="26">
        <f>IF(AND($B20="Jalon",$F20&gt;=AB$5,$F20&lt;AB$5+7),"◆","")</f>
        <v/>
      </c>
      <c r="AC20" s="26">
        <f>IF(AND($B20="Jalon",$F20&gt;=AC$5,$F20&lt;AC$5+7),"◆","")</f>
        <v/>
      </c>
      <c r="AD20" s="26">
        <f>IF(AND($B20="Jalon",$F20&gt;=AD$5,$F20&lt;AD$5+7),"◆","")</f>
        <v/>
      </c>
      <c r="AE20" s="26">
        <f>IF(AND($B20="Jalon",$F20&gt;=AE$5,$F20&lt;AE$5+7),"◆","")</f>
        <v/>
      </c>
      <c r="AF20" s="26">
        <f>IF(AND($B20="Jalon",$F20&gt;=AF$5,$F20&lt;AF$5+7),"◆","")</f>
        <v/>
      </c>
      <c r="AG20" s="26">
        <f>IF(AND($B20="Jalon",$F20&gt;=AG$5,$F20&lt;AG$5+7),"◆","")</f>
        <v/>
      </c>
      <c r="AH20" s="26">
        <f>IF(AND($B20="Jalon",$F20&gt;=AH$5,$F20&lt;AH$5+7),"◆","")</f>
        <v/>
      </c>
      <c r="AI20" s="26">
        <f>IF(AND($B20="Jalon",$F20&gt;=AI$5,$F20&lt;AI$5+7),"◆","")</f>
        <v/>
      </c>
    </row>
    <row r="21">
      <c r="B21" s="20" t="n"/>
      <c r="C21" s="20" t="n"/>
      <c r="D21" s="20" t="n"/>
      <c r="E21" s="22" t="n"/>
      <c r="F21" s="22" t="n"/>
      <c r="G21" s="23">
        <f>IF(OR(E21="",F21=""),"",NETWORKDAYS(E21,F21))</f>
        <v/>
      </c>
      <c r="H21" s="24" t="n"/>
      <c r="I21" s="25">
        <f>IF(C21="","",IF(B21="Phase","",IF(H21&gt;=1,"Terminé",IF(AND(F21&lt;&gt;"",TODAY()&gt;F21),"En retard",IF(AND(E21&lt;&gt;"",TODAY()&gt;=E21),"En cours","À venir")))))</f>
        <v/>
      </c>
      <c r="J21" s="26">
        <f>IF(AND($B21="Jalon",$F21&gt;=J$5,$F21&lt;J$5+7),"◆","")</f>
        <v/>
      </c>
      <c r="K21" s="26">
        <f>IF(AND($B21="Jalon",$F21&gt;=K$5,$F21&lt;K$5+7),"◆","")</f>
        <v/>
      </c>
      <c r="L21" s="26">
        <f>IF(AND($B21="Jalon",$F21&gt;=L$5,$F21&lt;L$5+7),"◆","")</f>
        <v/>
      </c>
      <c r="M21" s="26">
        <f>IF(AND($B21="Jalon",$F21&gt;=M$5,$F21&lt;M$5+7),"◆","")</f>
        <v/>
      </c>
      <c r="N21" s="26">
        <f>IF(AND($B21="Jalon",$F21&gt;=N$5,$F21&lt;N$5+7),"◆","")</f>
        <v/>
      </c>
      <c r="O21" s="26">
        <f>IF(AND($B21="Jalon",$F21&gt;=O$5,$F21&lt;O$5+7),"◆","")</f>
        <v/>
      </c>
      <c r="P21" s="26">
        <f>IF(AND($B21="Jalon",$F21&gt;=P$5,$F21&lt;P$5+7),"◆","")</f>
        <v/>
      </c>
      <c r="Q21" s="26">
        <f>IF(AND($B21="Jalon",$F21&gt;=Q$5,$F21&lt;Q$5+7),"◆","")</f>
        <v/>
      </c>
      <c r="R21" s="26">
        <f>IF(AND($B21="Jalon",$F21&gt;=R$5,$F21&lt;R$5+7),"◆","")</f>
        <v/>
      </c>
      <c r="S21" s="26">
        <f>IF(AND($B21="Jalon",$F21&gt;=S$5,$F21&lt;S$5+7),"◆","")</f>
        <v/>
      </c>
      <c r="T21" s="26">
        <f>IF(AND($B21="Jalon",$F21&gt;=T$5,$F21&lt;T$5+7),"◆","")</f>
        <v/>
      </c>
      <c r="U21" s="26">
        <f>IF(AND($B21="Jalon",$F21&gt;=U$5,$F21&lt;U$5+7),"◆","")</f>
        <v/>
      </c>
      <c r="V21" s="26">
        <f>IF(AND($B21="Jalon",$F21&gt;=V$5,$F21&lt;V$5+7),"◆","")</f>
        <v/>
      </c>
      <c r="W21" s="26">
        <f>IF(AND($B21="Jalon",$F21&gt;=W$5,$F21&lt;W$5+7),"◆","")</f>
        <v/>
      </c>
      <c r="X21" s="26">
        <f>IF(AND($B21="Jalon",$F21&gt;=X$5,$F21&lt;X$5+7),"◆","")</f>
        <v/>
      </c>
      <c r="Y21" s="26">
        <f>IF(AND($B21="Jalon",$F21&gt;=Y$5,$F21&lt;Y$5+7),"◆","")</f>
        <v/>
      </c>
      <c r="Z21" s="26">
        <f>IF(AND($B21="Jalon",$F21&gt;=Z$5,$F21&lt;Z$5+7),"◆","")</f>
        <v/>
      </c>
      <c r="AA21" s="26">
        <f>IF(AND($B21="Jalon",$F21&gt;=AA$5,$F21&lt;AA$5+7),"◆","")</f>
        <v/>
      </c>
      <c r="AB21" s="26">
        <f>IF(AND($B21="Jalon",$F21&gt;=AB$5,$F21&lt;AB$5+7),"◆","")</f>
        <v/>
      </c>
      <c r="AC21" s="26">
        <f>IF(AND($B21="Jalon",$F21&gt;=AC$5,$F21&lt;AC$5+7),"◆","")</f>
        <v/>
      </c>
      <c r="AD21" s="26">
        <f>IF(AND($B21="Jalon",$F21&gt;=AD$5,$F21&lt;AD$5+7),"◆","")</f>
        <v/>
      </c>
      <c r="AE21" s="26">
        <f>IF(AND($B21="Jalon",$F21&gt;=AE$5,$F21&lt;AE$5+7),"◆","")</f>
        <v/>
      </c>
      <c r="AF21" s="26">
        <f>IF(AND($B21="Jalon",$F21&gt;=AF$5,$F21&lt;AF$5+7),"◆","")</f>
        <v/>
      </c>
      <c r="AG21" s="26">
        <f>IF(AND($B21="Jalon",$F21&gt;=AG$5,$F21&lt;AG$5+7),"◆","")</f>
        <v/>
      </c>
      <c r="AH21" s="26">
        <f>IF(AND($B21="Jalon",$F21&gt;=AH$5,$F21&lt;AH$5+7),"◆","")</f>
        <v/>
      </c>
      <c r="AI21" s="26">
        <f>IF(AND($B21="Jalon",$F21&gt;=AI$5,$F21&lt;AI$5+7),"◆","")</f>
        <v/>
      </c>
    </row>
    <row r="22">
      <c r="B22" s="20" t="n"/>
      <c r="C22" s="20" t="n"/>
      <c r="D22" s="20" t="n"/>
      <c r="E22" s="22" t="n"/>
      <c r="F22" s="22" t="n"/>
      <c r="G22" s="23">
        <f>IF(OR(E22="",F22=""),"",NETWORKDAYS(E22,F22))</f>
        <v/>
      </c>
      <c r="H22" s="24" t="n"/>
      <c r="I22" s="25">
        <f>IF(C22="","",IF(B22="Phase","",IF(H22&gt;=1,"Terminé",IF(AND(F22&lt;&gt;"",TODAY()&gt;F22),"En retard",IF(AND(E22&lt;&gt;"",TODAY()&gt;=E22),"En cours","À venir")))))</f>
        <v/>
      </c>
      <c r="J22" s="26">
        <f>IF(AND($B22="Jalon",$F22&gt;=J$5,$F22&lt;J$5+7),"◆","")</f>
        <v/>
      </c>
      <c r="K22" s="26">
        <f>IF(AND($B22="Jalon",$F22&gt;=K$5,$F22&lt;K$5+7),"◆","")</f>
        <v/>
      </c>
      <c r="L22" s="26">
        <f>IF(AND($B22="Jalon",$F22&gt;=L$5,$F22&lt;L$5+7),"◆","")</f>
        <v/>
      </c>
      <c r="M22" s="26">
        <f>IF(AND($B22="Jalon",$F22&gt;=M$5,$F22&lt;M$5+7),"◆","")</f>
        <v/>
      </c>
      <c r="N22" s="26">
        <f>IF(AND($B22="Jalon",$F22&gt;=N$5,$F22&lt;N$5+7),"◆","")</f>
        <v/>
      </c>
      <c r="O22" s="26">
        <f>IF(AND($B22="Jalon",$F22&gt;=O$5,$F22&lt;O$5+7),"◆","")</f>
        <v/>
      </c>
      <c r="P22" s="26">
        <f>IF(AND($B22="Jalon",$F22&gt;=P$5,$F22&lt;P$5+7),"◆","")</f>
        <v/>
      </c>
      <c r="Q22" s="26">
        <f>IF(AND($B22="Jalon",$F22&gt;=Q$5,$F22&lt;Q$5+7),"◆","")</f>
        <v/>
      </c>
      <c r="R22" s="26">
        <f>IF(AND($B22="Jalon",$F22&gt;=R$5,$F22&lt;R$5+7),"◆","")</f>
        <v/>
      </c>
      <c r="S22" s="26">
        <f>IF(AND($B22="Jalon",$F22&gt;=S$5,$F22&lt;S$5+7),"◆","")</f>
        <v/>
      </c>
      <c r="T22" s="26">
        <f>IF(AND($B22="Jalon",$F22&gt;=T$5,$F22&lt;T$5+7),"◆","")</f>
        <v/>
      </c>
      <c r="U22" s="26">
        <f>IF(AND($B22="Jalon",$F22&gt;=U$5,$F22&lt;U$5+7),"◆","")</f>
        <v/>
      </c>
      <c r="V22" s="26">
        <f>IF(AND($B22="Jalon",$F22&gt;=V$5,$F22&lt;V$5+7),"◆","")</f>
        <v/>
      </c>
      <c r="W22" s="26">
        <f>IF(AND($B22="Jalon",$F22&gt;=W$5,$F22&lt;W$5+7),"◆","")</f>
        <v/>
      </c>
      <c r="X22" s="26">
        <f>IF(AND($B22="Jalon",$F22&gt;=X$5,$F22&lt;X$5+7),"◆","")</f>
        <v/>
      </c>
      <c r="Y22" s="26">
        <f>IF(AND($B22="Jalon",$F22&gt;=Y$5,$F22&lt;Y$5+7),"◆","")</f>
        <v/>
      </c>
      <c r="Z22" s="26">
        <f>IF(AND($B22="Jalon",$F22&gt;=Z$5,$F22&lt;Z$5+7),"◆","")</f>
        <v/>
      </c>
      <c r="AA22" s="26">
        <f>IF(AND($B22="Jalon",$F22&gt;=AA$5,$F22&lt;AA$5+7),"◆","")</f>
        <v/>
      </c>
      <c r="AB22" s="26">
        <f>IF(AND($B22="Jalon",$F22&gt;=AB$5,$F22&lt;AB$5+7),"◆","")</f>
        <v/>
      </c>
      <c r="AC22" s="26">
        <f>IF(AND($B22="Jalon",$F22&gt;=AC$5,$F22&lt;AC$5+7),"◆","")</f>
        <v/>
      </c>
      <c r="AD22" s="26">
        <f>IF(AND($B22="Jalon",$F22&gt;=AD$5,$F22&lt;AD$5+7),"◆","")</f>
        <v/>
      </c>
      <c r="AE22" s="26">
        <f>IF(AND($B22="Jalon",$F22&gt;=AE$5,$F22&lt;AE$5+7),"◆","")</f>
        <v/>
      </c>
      <c r="AF22" s="26">
        <f>IF(AND($B22="Jalon",$F22&gt;=AF$5,$F22&lt;AF$5+7),"◆","")</f>
        <v/>
      </c>
      <c r="AG22" s="26">
        <f>IF(AND($B22="Jalon",$F22&gt;=AG$5,$F22&lt;AG$5+7),"◆","")</f>
        <v/>
      </c>
      <c r="AH22" s="26">
        <f>IF(AND($B22="Jalon",$F22&gt;=AH$5,$F22&lt;AH$5+7),"◆","")</f>
        <v/>
      </c>
      <c r="AI22" s="26">
        <f>IF(AND($B22="Jalon",$F22&gt;=AI$5,$F22&lt;AI$5+7),"◆","")</f>
        <v/>
      </c>
    </row>
    <row r="23">
      <c r="B23" s="20" t="n"/>
      <c r="C23" s="20" t="n"/>
      <c r="D23" s="20" t="n"/>
      <c r="E23" s="22" t="n"/>
      <c r="F23" s="22" t="n"/>
      <c r="G23" s="23">
        <f>IF(OR(E23="",F23=""),"",NETWORKDAYS(E23,F23))</f>
        <v/>
      </c>
      <c r="H23" s="24" t="n"/>
      <c r="I23" s="25">
        <f>IF(C23="","",IF(B23="Phase","",IF(H23&gt;=1,"Terminé",IF(AND(F23&lt;&gt;"",TODAY()&gt;F23),"En retard",IF(AND(E23&lt;&gt;"",TODAY()&gt;=E23),"En cours","À venir")))))</f>
        <v/>
      </c>
      <c r="J23" s="26">
        <f>IF(AND($B23="Jalon",$F23&gt;=J$5,$F23&lt;J$5+7),"◆","")</f>
        <v/>
      </c>
      <c r="K23" s="26">
        <f>IF(AND($B23="Jalon",$F23&gt;=K$5,$F23&lt;K$5+7),"◆","")</f>
        <v/>
      </c>
      <c r="L23" s="26">
        <f>IF(AND($B23="Jalon",$F23&gt;=L$5,$F23&lt;L$5+7),"◆","")</f>
        <v/>
      </c>
      <c r="M23" s="26">
        <f>IF(AND($B23="Jalon",$F23&gt;=M$5,$F23&lt;M$5+7),"◆","")</f>
        <v/>
      </c>
      <c r="N23" s="26">
        <f>IF(AND($B23="Jalon",$F23&gt;=N$5,$F23&lt;N$5+7),"◆","")</f>
        <v/>
      </c>
      <c r="O23" s="26">
        <f>IF(AND($B23="Jalon",$F23&gt;=O$5,$F23&lt;O$5+7),"◆","")</f>
        <v/>
      </c>
      <c r="P23" s="26">
        <f>IF(AND($B23="Jalon",$F23&gt;=P$5,$F23&lt;P$5+7),"◆","")</f>
        <v/>
      </c>
      <c r="Q23" s="26">
        <f>IF(AND($B23="Jalon",$F23&gt;=Q$5,$F23&lt;Q$5+7),"◆","")</f>
        <v/>
      </c>
      <c r="R23" s="26">
        <f>IF(AND($B23="Jalon",$F23&gt;=R$5,$F23&lt;R$5+7),"◆","")</f>
        <v/>
      </c>
      <c r="S23" s="26">
        <f>IF(AND($B23="Jalon",$F23&gt;=S$5,$F23&lt;S$5+7),"◆","")</f>
        <v/>
      </c>
      <c r="T23" s="26">
        <f>IF(AND($B23="Jalon",$F23&gt;=T$5,$F23&lt;T$5+7),"◆","")</f>
        <v/>
      </c>
      <c r="U23" s="26">
        <f>IF(AND($B23="Jalon",$F23&gt;=U$5,$F23&lt;U$5+7),"◆","")</f>
        <v/>
      </c>
      <c r="V23" s="26">
        <f>IF(AND($B23="Jalon",$F23&gt;=V$5,$F23&lt;V$5+7),"◆","")</f>
        <v/>
      </c>
      <c r="W23" s="26">
        <f>IF(AND($B23="Jalon",$F23&gt;=W$5,$F23&lt;W$5+7),"◆","")</f>
        <v/>
      </c>
      <c r="X23" s="26">
        <f>IF(AND($B23="Jalon",$F23&gt;=X$5,$F23&lt;X$5+7),"◆","")</f>
        <v/>
      </c>
      <c r="Y23" s="26">
        <f>IF(AND($B23="Jalon",$F23&gt;=Y$5,$F23&lt;Y$5+7),"◆","")</f>
        <v/>
      </c>
      <c r="Z23" s="26">
        <f>IF(AND($B23="Jalon",$F23&gt;=Z$5,$F23&lt;Z$5+7),"◆","")</f>
        <v/>
      </c>
      <c r="AA23" s="26">
        <f>IF(AND($B23="Jalon",$F23&gt;=AA$5,$F23&lt;AA$5+7),"◆","")</f>
        <v/>
      </c>
      <c r="AB23" s="26">
        <f>IF(AND($B23="Jalon",$F23&gt;=AB$5,$F23&lt;AB$5+7),"◆","")</f>
        <v/>
      </c>
      <c r="AC23" s="26">
        <f>IF(AND($B23="Jalon",$F23&gt;=AC$5,$F23&lt;AC$5+7),"◆","")</f>
        <v/>
      </c>
      <c r="AD23" s="26">
        <f>IF(AND($B23="Jalon",$F23&gt;=AD$5,$F23&lt;AD$5+7),"◆","")</f>
        <v/>
      </c>
      <c r="AE23" s="26">
        <f>IF(AND($B23="Jalon",$F23&gt;=AE$5,$F23&lt;AE$5+7),"◆","")</f>
        <v/>
      </c>
      <c r="AF23" s="26">
        <f>IF(AND($B23="Jalon",$F23&gt;=AF$5,$F23&lt;AF$5+7),"◆","")</f>
        <v/>
      </c>
      <c r="AG23" s="26">
        <f>IF(AND($B23="Jalon",$F23&gt;=AG$5,$F23&lt;AG$5+7),"◆","")</f>
        <v/>
      </c>
      <c r="AH23" s="26">
        <f>IF(AND($B23="Jalon",$F23&gt;=AH$5,$F23&lt;AH$5+7),"◆","")</f>
        <v/>
      </c>
      <c r="AI23" s="26">
        <f>IF(AND($B23="Jalon",$F23&gt;=AI$5,$F23&lt;AI$5+7),"◆","")</f>
        <v/>
      </c>
    </row>
    <row r="24">
      <c r="B24" s="20" t="n"/>
      <c r="C24" s="20" t="n"/>
      <c r="D24" s="20" t="n"/>
      <c r="E24" s="22" t="n"/>
      <c r="F24" s="22" t="n"/>
      <c r="G24" s="23">
        <f>IF(OR(E24="",F24=""),"",NETWORKDAYS(E24,F24))</f>
        <v/>
      </c>
      <c r="H24" s="24" t="n"/>
      <c r="I24" s="25">
        <f>IF(C24="","",IF(B24="Phase","",IF(H24&gt;=1,"Terminé",IF(AND(F24&lt;&gt;"",TODAY()&gt;F24),"En retard",IF(AND(E24&lt;&gt;"",TODAY()&gt;=E24),"En cours","À venir")))))</f>
        <v/>
      </c>
      <c r="J24" s="26">
        <f>IF(AND($B24="Jalon",$F24&gt;=J$5,$F24&lt;J$5+7),"◆","")</f>
        <v/>
      </c>
      <c r="K24" s="26">
        <f>IF(AND($B24="Jalon",$F24&gt;=K$5,$F24&lt;K$5+7),"◆","")</f>
        <v/>
      </c>
      <c r="L24" s="26">
        <f>IF(AND($B24="Jalon",$F24&gt;=L$5,$F24&lt;L$5+7),"◆","")</f>
        <v/>
      </c>
      <c r="M24" s="26">
        <f>IF(AND($B24="Jalon",$F24&gt;=M$5,$F24&lt;M$5+7),"◆","")</f>
        <v/>
      </c>
      <c r="N24" s="26">
        <f>IF(AND($B24="Jalon",$F24&gt;=N$5,$F24&lt;N$5+7),"◆","")</f>
        <v/>
      </c>
      <c r="O24" s="26">
        <f>IF(AND($B24="Jalon",$F24&gt;=O$5,$F24&lt;O$5+7),"◆","")</f>
        <v/>
      </c>
      <c r="P24" s="26">
        <f>IF(AND($B24="Jalon",$F24&gt;=P$5,$F24&lt;P$5+7),"◆","")</f>
        <v/>
      </c>
      <c r="Q24" s="26">
        <f>IF(AND($B24="Jalon",$F24&gt;=Q$5,$F24&lt;Q$5+7),"◆","")</f>
        <v/>
      </c>
      <c r="R24" s="26">
        <f>IF(AND($B24="Jalon",$F24&gt;=R$5,$F24&lt;R$5+7),"◆","")</f>
        <v/>
      </c>
      <c r="S24" s="26">
        <f>IF(AND($B24="Jalon",$F24&gt;=S$5,$F24&lt;S$5+7),"◆","")</f>
        <v/>
      </c>
      <c r="T24" s="26">
        <f>IF(AND($B24="Jalon",$F24&gt;=T$5,$F24&lt;T$5+7),"◆","")</f>
        <v/>
      </c>
      <c r="U24" s="26">
        <f>IF(AND($B24="Jalon",$F24&gt;=U$5,$F24&lt;U$5+7),"◆","")</f>
        <v/>
      </c>
      <c r="V24" s="26">
        <f>IF(AND($B24="Jalon",$F24&gt;=V$5,$F24&lt;V$5+7),"◆","")</f>
        <v/>
      </c>
      <c r="W24" s="26">
        <f>IF(AND($B24="Jalon",$F24&gt;=W$5,$F24&lt;W$5+7),"◆","")</f>
        <v/>
      </c>
      <c r="X24" s="26">
        <f>IF(AND($B24="Jalon",$F24&gt;=X$5,$F24&lt;X$5+7),"◆","")</f>
        <v/>
      </c>
      <c r="Y24" s="26">
        <f>IF(AND($B24="Jalon",$F24&gt;=Y$5,$F24&lt;Y$5+7),"◆","")</f>
        <v/>
      </c>
      <c r="Z24" s="26">
        <f>IF(AND($B24="Jalon",$F24&gt;=Z$5,$F24&lt;Z$5+7),"◆","")</f>
        <v/>
      </c>
      <c r="AA24" s="26">
        <f>IF(AND($B24="Jalon",$F24&gt;=AA$5,$F24&lt;AA$5+7),"◆","")</f>
        <v/>
      </c>
      <c r="AB24" s="26">
        <f>IF(AND($B24="Jalon",$F24&gt;=AB$5,$F24&lt;AB$5+7),"◆","")</f>
        <v/>
      </c>
      <c r="AC24" s="26">
        <f>IF(AND($B24="Jalon",$F24&gt;=AC$5,$F24&lt;AC$5+7),"◆","")</f>
        <v/>
      </c>
      <c r="AD24" s="26">
        <f>IF(AND($B24="Jalon",$F24&gt;=AD$5,$F24&lt;AD$5+7),"◆","")</f>
        <v/>
      </c>
      <c r="AE24" s="26">
        <f>IF(AND($B24="Jalon",$F24&gt;=AE$5,$F24&lt;AE$5+7),"◆","")</f>
        <v/>
      </c>
      <c r="AF24" s="26">
        <f>IF(AND($B24="Jalon",$F24&gt;=AF$5,$F24&lt;AF$5+7),"◆","")</f>
        <v/>
      </c>
      <c r="AG24" s="26">
        <f>IF(AND($B24="Jalon",$F24&gt;=AG$5,$F24&lt;AG$5+7),"◆","")</f>
        <v/>
      </c>
      <c r="AH24" s="26">
        <f>IF(AND($B24="Jalon",$F24&gt;=AH$5,$F24&lt;AH$5+7),"◆","")</f>
        <v/>
      </c>
      <c r="AI24" s="26">
        <f>IF(AND($B24="Jalon",$F24&gt;=AI$5,$F24&lt;AI$5+7),"◆","")</f>
        <v/>
      </c>
    </row>
    <row r="25">
      <c r="B25" s="20" t="n"/>
      <c r="C25" s="20" t="n"/>
      <c r="D25" s="20" t="n"/>
      <c r="E25" s="22" t="n"/>
      <c r="F25" s="22" t="n"/>
      <c r="G25" s="23">
        <f>IF(OR(E25="",F25=""),"",NETWORKDAYS(E25,F25))</f>
        <v/>
      </c>
      <c r="H25" s="24" t="n"/>
      <c r="I25" s="25">
        <f>IF(C25="","",IF(B25="Phase","",IF(H25&gt;=1,"Terminé",IF(AND(F25&lt;&gt;"",TODAY()&gt;F25),"En retard",IF(AND(E25&lt;&gt;"",TODAY()&gt;=E25),"En cours","À venir")))))</f>
        <v/>
      </c>
      <c r="J25" s="26">
        <f>IF(AND($B25="Jalon",$F25&gt;=J$5,$F25&lt;J$5+7),"◆","")</f>
        <v/>
      </c>
      <c r="K25" s="26">
        <f>IF(AND($B25="Jalon",$F25&gt;=K$5,$F25&lt;K$5+7),"◆","")</f>
        <v/>
      </c>
      <c r="L25" s="26">
        <f>IF(AND($B25="Jalon",$F25&gt;=L$5,$F25&lt;L$5+7),"◆","")</f>
        <v/>
      </c>
      <c r="M25" s="26">
        <f>IF(AND($B25="Jalon",$F25&gt;=M$5,$F25&lt;M$5+7),"◆","")</f>
        <v/>
      </c>
      <c r="N25" s="26">
        <f>IF(AND($B25="Jalon",$F25&gt;=N$5,$F25&lt;N$5+7),"◆","")</f>
        <v/>
      </c>
      <c r="O25" s="26">
        <f>IF(AND($B25="Jalon",$F25&gt;=O$5,$F25&lt;O$5+7),"◆","")</f>
        <v/>
      </c>
      <c r="P25" s="26">
        <f>IF(AND($B25="Jalon",$F25&gt;=P$5,$F25&lt;P$5+7),"◆","")</f>
        <v/>
      </c>
      <c r="Q25" s="26">
        <f>IF(AND($B25="Jalon",$F25&gt;=Q$5,$F25&lt;Q$5+7),"◆","")</f>
        <v/>
      </c>
      <c r="R25" s="26">
        <f>IF(AND($B25="Jalon",$F25&gt;=R$5,$F25&lt;R$5+7),"◆","")</f>
        <v/>
      </c>
      <c r="S25" s="26">
        <f>IF(AND($B25="Jalon",$F25&gt;=S$5,$F25&lt;S$5+7),"◆","")</f>
        <v/>
      </c>
      <c r="T25" s="26">
        <f>IF(AND($B25="Jalon",$F25&gt;=T$5,$F25&lt;T$5+7),"◆","")</f>
        <v/>
      </c>
      <c r="U25" s="26">
        <f>IF(AND($B25="Jalon",$F25&gt;=U$5,$F25&lt;U$5+7),"◆","")</f>
        <v/>
      </c>
      <c r="V25" s="26">
        <f>IF(AND($B25="Jalon",$F25&gt;=V$5,$F25&lt;V$5+7),"◆","")</f>
        <v/>
      </c>
      <c r="W25" s="26">
        <f>IF(AND($B25="Jalon",$F25&gt;=W$5,$F25&lt;W$5+7),"◆","")</f>
        <v/>
      </c>
      <c r="X25" s="26">
        <f>IF(AND($B25="Jalon",$F25&gt;=X$5,$F25&lt;X$5+7),"◆","")</f>
        <v/>
      </c>
      <c r="Y25" s="26">
        <f>IF(AND($B25="Jalon",$F25&gt;=Y$5,$F25&lt;Y$5+7),"◆","")</f>
        <v/>
      </c>
      <c r="Z25" s="26">
        <f>IF(AND($B25="Jalon",$F25&gt;=Z$5,$F25&lt;Z$5+7),"◆","")</f>
        <v/>
      </c>
      <c r="AA25" s="26">
        <f>IF(AND($B25="Jalon",$F25&gt;=AA$5,$F25&lt;AA$5+7),"◆","")</f>
        <v/>
      </c>
      <c r="AB25" s="26">
        <f>IF(AND($B25="Jalon",$F25&gt;=AB$5,$F25&lt;AB$5+7),"◆","")</f>
        <v/>
      </c>
      <c r="AC25" s="26">
        <f>IF(AND($B25="Jalon",$F25&gt;=AC$5,$F25&lt;AC$5+7),"◆","")</f>
        <v/>
      </c>
      <c r="AD25" s="26">
        <f>IF(AND($B25="Jalon",$F25&gt;=AD$5,$F25&lt;AD$5+7),"◆","")</f>
        <v/>
      </c>
      <c r="AE25" s="26">
        <f>IF(AND($B25="Jalon",$F25&gt;=AE$5,$F25&lt;AE$5+7),"◆","")</f>
        <v/>
      </c>
      <c r="AF25" s="26">
        <f>IF(AND($B25="Jalon",$F25&gt;=AF$5,$F25&lt;AF$5+7),"◆","")</f>
        <v/>
      </c>
      <c r="AG25" s="26">
        <f>IF(AND($B25="Jalon",$F25&gt;=AG$5,$F25&lt;AG$5+7),"◆","")</f>
        <v/>
      </c>
      <c r="AH25" s="26">
        <f>IF(AND($B25="Jalon",$F25&gt;=AH$5,$F25&lt;AH$5+7),"◆","")</f>
        <v/>
      </c>
      <c r="AI25" s="26">
        <f>IF(AND($B25="Jalon",$F25&gt;=AI$5,$F25&lt;AI$5+7),"◆","")</f>
        <v/>
      </c>
    </row>
    <row r="26">
      <c r="B26" s="20" t="n"/>
      <c r="C26" s="20" t="n"/>
      <c r="D26" s="20" t="n"/>
      <c r="E26" s="22" t="n"/>
      <c r="F26" s="22" t="n"/>
      <c r="G26" s="23">
        <f>IF(OR(E26="",F26=""),"",NETWORKDAYS(E26,F26))</f>
        <v/>
      </c>
      <c r="H26" s="24" t="n"/>
      <c r="I26" s="25">
        <f>IF(C26="","",IF(B26="Phase","",IF(H26&gt;=1,"Terminé",IF(AND(F26&lt;&gt;"",TODAY()&gt;F26),"En retard",IF(AND(E26&lt;&gt;"",TODAY()&gt;=E26),"En cours","À venir")))))</f>
        <v/>
      </c>
      <c r="J26" s="26">
        <f>IF(AND($B26="Jalon",$F26&gt;=J$5,$F26&lt;J$5+7),"◆","")</f>
        <v/>
      </c>
      <c r="K26" s="26">
        <f>IF(AND($B26="Jalon",$F26&gt;=K$5,$F26&lt;K$5+7),"◆","")</f>
        <v/>
      </c>
      <c r="L26" s="26">
        <f>IF(AND($B26="Jalon",$F26&gt;=L$5,$F26&lt;L$5+7),"◆","")</f>
        <v/>
      </c>
      <c r="M26" s="26">
        <f>IF(AND($B26="Jalon",$F26&gt;=M$5,$F26&lt;M$5+7),"◆","")</f>
        <v/>
      </c>
      <c r="N26" s="26">
        <f>IF(AND($B26="Jalon",$F26&gt;=N$5,$F26&lt;N$5+7),"◆","")</f>
        <v/>
      </c>
      <c r="O26" s="26">
        <f>IF(AND($B26="Jalon",$F26&gt;=O$5,$F26&lt;O$5+7),"◆","")</f>
        <v/>
      </c>
      <c r="P26" s="26">
        <f>IF(AND($B26="Jalon",$F26&gt;=P$5,$F26&lt;P$5+7),"◆","")</f>
        <v/>
      </c>
      <c r="Q26" s="26">
        <f>IF(AND($B26="Jalon",$F26&gt;=Q$5,$F26&lt;Q$5+7),"◆","")</f>
        <v/>
      </c>
      <c r="R26" s="26">
        <f>IF(AND($B26="Jalon",$F26&gt;=R$5,$F26&lt;R$5+7),"◆","")</f>
        <v/>
      </c>
      <c r="S26" s="26">
        <f>IF(AND($B26="Jalon",$F26&gt;=S$5,$F26&lt;S$5+7),"◆","")</f>
        <v/>
      </c>
      <c r="T26" s="26">
        <f>IF(AND($B26="Jalon",$F26&gt;=T$5,$F26&lt;T$5+7),"◆","")</f>
        <v/>
      </c>
      <c r="U26" s="26">
        <f>IF(AND($B26="Jalon",$F26&gt;=U$5,$F26&lt;U$5+7),"◆","")</f>
        <v/>
      </c>
      <c r="V26" s="26">
        <f>IF(AND($B26="Jalon",$F26&gt;=V$5,$F26&lt;V$5+7),"◆","")</f>
        <v/>
      </c>
      <c r="W26" s="26">
        <f>IF(AND($B26="Jalon",$F26&gt;=W$5,$F26&lt;W$5+7),"◆","")</f>
        <v/>
      </c>
      <c r="X26" s="26">
        <f>IF(AND($B26="Jalon",$F26&gt;=X$5,$F26&lt;X$5+7),"◆","")</f>
        <v/>
      </c>
      <c r="Y26" s="26">
        <f>IF(AND($B26="Jalon",$F26&gt;=Y$5,$F26&lt;Y$5+7),"◆","")</f>
        <v/>
      </c>
      <c r="Z26" s="26">
        <f>IF(AND($B26="Jalon",$F26&gt;=Z$5,$F26&lt;Z$5+7),"◆","")</f>
        <v/>
      </c>
      <c r="AA26" s="26">
        <f>IF(AND($B26="Jalon",$F26&gt;=AA$5,$F26&lt;AA$5+7),"◆","")</f>
        <v/>
      </c>
      <c r="AB26" s="26">
        <f>IF(AND($B26="Jalon",$F26&gt;=AB$5,$F26&lt;AB$5+7),"◆","")</f>
        <v/>
      </c>
      <c r="AC26" s="26">
        <f>IF(AND($B26="Jalon",$F26&gt;=AC$5,$F26&lt;AC$5+7),"◆","")</f>
        <v/>
      </c>
      <c r="AD26" s="26">
        <f>IF(AND($B26="Jalon",$F26&gt;=AD$5,$F26&lt;AD$5+7),"◆","")</f>
        <v/>
      </c>
      <c r="AE26" s="26">
        <f>IF(AND($B26="Jalon",$F26&gt;=AE$5,$F26&lt;AE$5+7),"◆","")</f>
        <v/>
      </c>
      <c r="AF26" s="26">
        <f>IF(AND($B26="Jalon",$F26&gt;=AF$5,$F26&lt;AF$5+7),"◆","")</f>
        <v/>
      </c>
      <c r="AG26" s="26">
        <f>IF(AND($B26="Jalon",$F26&gt;=AG$5,$F26&lt;AG$5+7),"◆","")</f>
        <v/>
      </c>
      <c r="AH26" s="26">
        <f>IF(AND($B26="Jalon",$F26&gt;=AH$5,$F26&lt;AH$5+7),"◆","")</f>
        <v/>
      </c>
      <c r="AI26" s="26">
        <f>IF(AND($B26="Jalon",$F26&gt;=AI$5,$F26&lt;AI$5+7),"◆","")</f>
        <v/>
      </c>
    </row>
    <row r="27">
      <c r="B27" s="20" t="n"/>
      <c r="C27" s="20" t="n"/>
      <c r="D27" s="20" t="n"/>
      <c r="E27" s="22" t="n"/>
      <c r="F27" s="22" t="n"/>
      <c r="G27" s="23">
        <f>IF(OR(E27="",F27=""),"",NETWORKDAYS(E27,F27))</f>
        <v/>
      </c>
      <c r="H27" s="24" t="n"/>
      <c r="I27" s="25">
        <f>IF(C27="","",IF(B27="Phase","",IF(H27&gt;=1,"Terminé",IF(AND(F27&lt;&gt;"",TODAY()&gt;F27),"En retard",IF(AND(E27&lt;&gt;"",TODAY()&gt;=E27),"En cours","À venir")))))</f>
        <v/>
      </c>
      <c r="J27" s="26">
        <f>IF(AND($B27="Jalon",$F27&gt;=J$5,$F27&lt;J$5+7),"◆","")</f>
        <v/>
      </c>
      <c r="K27" s="26">
        <f>IF(AND($B27="Jalon",$F27&gt;=K$5,$F27&lt;K$5+7),"◆","")</f>
        <v/>
      </c>
      <c r="L27" s="26">
        <f>IF(AND($B27="Jalon",$F27&gt;=L$5,$F27&lt;L$5+7),"◆","")</f>
        <v/>
      </c>
      <c r="M27" s="26">
        <f>IF(AND($B27="Jalon",$F27&gt;=M$5,$F27&lt;M$5+7),"◆","")</f>
        <v/>
      </c>
      <c r="N27" s="26">
        <f>IF(AND($B27="Jalon",$F27&gt;=N$5,$F27&lt;N$5+7),"◆","")</f>
        <v/>
      </c>
      <c r="O27" s="26">
        <f>IF(AND($B27="Jalon",$F27&gt;=O$5,$F27&lt;O$5+7),"◆","")</f>
        <v/>
      </c>
      <c r="P27" s="26">
        <f>IF(AND($B27="Jalon",$F27&gt;=P$5,$F27&lt;P$5+7),"◆","")</f>
        <v/>
      </c>
      <c r="Q27" s="26">
        <f>IF(AND($B27="Jalon",$F27&gt;=Q$5,$F27&lt;Q$5+7),"◆","")</f>
        <v/>
      </c>
      <c r="R27" s="26">
        <f>IF(AND($B27="Jalon",$F27&gt;=R$5,$F27&lt;R$5+7),"◆","")</f>
        <v/>
      </c>
      <c r="S27" s="26">
        <f>IF(AND($B27="Jalon",$F27&gt;=S$5,$F27&lt;S$5+7),"◆","")</f>
        <v/>
      </c>
      <c r="T27" s="26">
        <f>IF(AND($B27="Jalon",$F27&gt;=T$5,$F27&lt;T$5+7),"◆","")</f>
        <v/>
      </c>
      <c r="U27" s="26">
        <f>IF(AND($B27="Jalon",$F27&gt;=U$5,$F27&lt;U$5+7),"◆","")</f>
        <v/>
      </c>
      <c r="V27" s="26">
        <f>IF(AND($B27="Jalon",$F27&gt;=V$5,$F27&lt;V$5+7),"◆","")</f>
        <v/>
      </c>
      <c r="W27" s="26">
        <f>IF(AND($B27="Jalon",$F27&gt;=W$5,$F27&lt;W$5+7),"◆","")</f>
        <v/>
      </c>
      <c r="X27" s="26">
        <f>IF(AND($B27="Jalon",$F27&gt;=X$5,$F27&lt;X$5+7),"◆","")</f>
        <v/>
      </c>
      <c r="Y27" s="26">
        <f>IF(AND($B27="Jalon",$F27&gt;=Y$5,$F27&lt;Y$5+7),"◆","")</f>
        <v/>
      </c>
      <c r="Z27" s="26">
        <f>IF(AND($B27="Jalon",$F27&gt;=Z$5,$F27&lt;Z$5+7),"◆","")</f>
        <v/>
      </c>
      <c r="AA27" s="26">
        <f>IF(AND($B27="Jalon",$F27&gt;=AA$5,$F27&lt;AA$5+7),"◆","")</f>
        <v/>
      </c>
      <c r="AB27" s="26">
        <f>IF(AND($B27="Jalon",$F27&gt;=AB$5,$F27&lt;AB$5+7),"◆","")</f>
        <v/>
      </c>
      <c r="AC27" s="26">
        <f>IF(AND($B27="Jalon",$F27&gt;=AC$5,$F27&lt;AC$5+7),"◆","")</f>
        <v/>
      </c>
      <c r="AD27" s="26">
        <f>IF(AND($B27="Jalon",$F27&gt;=AD$5,$F27&lt;AD$5+7),"◆","")</f>
        <v/>
      </c>
      <c r="AE27" s="26">
        <f>IF(AND($B27="Jalon",$F27&gt;=AE$5,$F27&lt;AE$5+7),"◆","")</f>
        <v/>
      </c>
      <c r="AF27" s="26">
        <f>IF(AND($B27="Jalon",$F27&gt;=AF$5,$F27&lt;AF$5+7),"◆","")</f>
        <v/>
      </c>
      <c r="AG27" s="26">
        <f>IF(AND($B27="Jalon",$F27&gt;=AG$5,$F27&lt;AG$5+7),"◆","")</f>
        <v/>
      </c>
      <c r="AH27" s="26">
        <f>IF(AND($B27="Jalon",$F27&gt;=AH$5,$F27&lt;AH$5+7),"◆","")</f>
        <v/>
      </c>
      <c r="AI27" s="26">
        <f>IF(AND($B27="Jalon",$F27&gt;=AI$5,$F27&lt;AI$5+7),"◆","")</f>
        <v/>
      </c>
    </row>
    <row r="28">
      <c r="B28" s="20" t="n"/>
      <c r="C28" s="20" t="n"/>
      <c r="D28" s="20" t="n"/>
      <c r="E28" s="22" t="n"/>
      <c r="F28" s="22" t="n"/>
      <c r="G28" s="23">
        <f>IF(OR(E28="",F28=""),"",NETWORKDAYS(E28,F28))</f>
        <v/>
      </c>
      <c r="H28" s="24" t="n"/>
      <c r="I28" s="25">
        <f>IF(C28="","",IF(B28="Phase","",IF(H28&gt;=1,"Terminé",IF(AND(F28&lt;&gt;"",TODAY()&gt;F28),"En retard",IF(AND(E28&lt;&gt;"",TODAY()&gt;=E28),"En cours","À venir")))))</f>
        <v/>
      </c>
      <c r="J28" s="26">
        <f>IF(AND($B28="Jalon",$F28&gt;=J$5,$F28&lt;J$5+7),"◆","")</f>
        <v/>
      </c>
      <c r="K28" s="26">
        <f>IF(AND($B28="Jalon",$F28&gt;=K$5,$F28&lt;K$5+7),"◆","")</f>
        <v/>
      </c>
      <c r="L28" s="26">
        <f>IF(AND($B28="Jalon",$F28&gt;=L$5,$F28&lt;L$5+7),"◆","")</f>
        <v/>
      </c>
      <c r="M28" s="26">
        <f>IF(AND($B28="Jalon",$F28&gt;=M$5,$F28&lt;M$5+7),"◆","")</f>
        <v/>
      </c>
      <c r="N28" s="26">
        <f>IF(AND($B28="Jalon",$F28&gt;=N$5,$F28&lt;N$5+7),"◆","")</f>
        <v/>
      </c>
      <c r="O28" s="26">
        <f>IF(AND($B28="Jalon",$F28&gt;=O$5,$F28&lt;O$5+7),"◆","")</f>
        <v/>
      </c>
      <c r="P28" s="26">
        <f>IF(AND($B28="Jalon",$F28&gt;=P$5,$F28&lt;P$5+7),"◆","")</f>
        <v/>
      </c>
      <c r="Q28" s="26">
        <f>IF(AND($B28="Jalon",$F28&gt;=Q$5,$F28&lt;Q$5+7),"◆","")</f>
        <v/>
      </c>
      <c r="R28" s="26">
        <f>IF(AND($B28="Jalon",$F28&gt;=R$5,$F28&lt;R$5+7),"◆","")</f>
        <v/>
      </c>
      <c r="S28" s="26">
        <f>IF(AND($B28="Jalon",$F28&gt;=S$5,$F28&lt;S$5+7),"◆","")</f>
        <v/>
      </c>
      <c r="T28" s="26">
        <f>IF(AND($B28="Jalon",$F28&gt;=T$5,$F28&lt;T$5+7),"◆","")</f>
        <v/>
      </c>
      <c r="U28" s="26">
        <f>IF(AND($B28="Jalon",$F28&gt;=U$5,$F28&lt;U$5+7),"◆","")</f>
        <v/>
      </c>
      <c r="V28" s="26">
        <f>IF(AND($B28="Jalon",$F28&gt;=V$5,$F28&lt;V$5+7),"◆","")</f>
        <v/>
      </c>
      <c r="W28" s="26">
        <f>IF(AND($B28="Jalon",$F28&gt;=W$5,$F28&lt;W$5+7),"◆","")</f>
        <v/>
      </c>
      <c r="X28" s="26">
        <f>IF(AND($B28="Jalon",$F28&gt;=X$5,$F28&lt;X$5+7),"◆","")</f>
        <v/>
      </c>
      <c r="Y28" s="26">
        <f>IF(AND($B28="Jalon",$F28&gt;=Y$5,$F28&lt;Y$5+7),"◆","")</f>
        <v/>
      </c>
      <c r="Z28" s="26">
        <f>IF(AND($B28="Jalon",$F28&gt;=Z$5,$F28&lt;Z$5+7),"◆","")</f>
        <v/>
      </c>
      <c r="AA28" s="26">
        <f>IF(AND($B28="Jalon",$F28&gt;=AA$5,$F28&lt;AA$5+7),"◆","")</f>
        <v/>
      </c>
      <c r="AB28" s="26">
        <f>IF(AND($B28="Jalon",$F28&gt;=AB$5,$F28&lt;AB$5+7),"◆","")</f>
        <v/>
      </c>
      <c r="AC28" s="26">
        <f>IF(AND($B28="Jalon",$F28&gt;=AC$5,$F28&lt;AC$5+7),"◆","")</f>
        <v/>
      </c>
      <c r="AD28" s="26">
        <f>IF(AND($B28="Jalon",$F28&gt;=AD$5,$F28&lt;AD$5+7),"◆","")</f>
        <v/>
      </c>
      <c r="AE28" s="26">
        <f>IF(AND($B28="Jalon",$F28&gt;=AE$5,$F28&lt;AE$5+7),"◆","")</f>
        <v/>
      </c>
      <c r="AF28" s="26">
        <f>IF(AND($B28="Jalon",$F28&gt;=AF$5,$F28&lt;AF$5+7),"◆","")</f>
        <v/>
      </c>
      <c r="AG28" s="26">
        <f>IF(AND($B28="Jalon",$F28&gt;=AG$5,$F28&lt;AG$5+7),"◆","")</f>
        <v/>
      </c>
      <c r="AH28" s="26">
        <f>IF(AND($B28="Jalon",$F28&gt;=AH$5,$F28&lt;AH$5+7),"◆","")</f>
        <v/>
      </c>
      <c r="AI28" s="26">
        <f>IF(AND($B28="Jalon",$F28&gt;=AI$5,$F28&lt;AI$5+7),"◆","")</f>
        <v/>
      </c>
    </row>
    <row r="29">
      <c r="B29" s="20" t="n"/>
      <c r="C29" s="20" t="n"/>
      <c r="D29" s="20" t="n"/>
      <c r="E29" s="22" t="n"/>
      <c r="F29" s="22" t="n"/>
      <c r="G29" s="23">
        <f>IF(OR(E29="",F29=""),"",NETWORKDAYS(E29,F29))</f>
        <v/>
      </c>
      <c r="H29" s="24" t="n"/>
      <c r="I29" s="25">
        <f>IF(C29="","",IF(B29="Phase","",IF(H29&gt;=1,"Terminé",IF(AND(F29&lt;&gt;"",TODAY()&gt;F29),"En retard",IF(AND(E29&lt;&gt;"",TODAY()&gt;=E29),"En cours","À venir")))))</f>
        <v/>
      </c>
      <c r="J29" s="26">
        <f>IF(AND($B29="Jalon",$F29&gt;=J$5,$F29&lt;J$5+7),"◆","")</f>
        <v/>
      </c>
      <c r="K29" s="26">
        <f>IF(AND($B29="Jalon",$F29&gt;=K$5,$F29&lt;K$5+7),"◆","")</f>
        <v/>
      </c>
      <c r="L29" s="26">
        <f>IF(AND($B29="Jalon",$F29&gt;=L$5,$F29&lt;L$5+7),"◆","")</f>
        <v/>
      </c>
      <c r="M29" s="26">
        <f>IF(AND($B29="Jalon",$F29&gt;=M$5,$F29&lt;M$5+7),"◆","")</f>
        <v/>
      </c>
      <c r="N29" s="26">
        <f>IF(AND($B29="Jalon",$F29&gt;=N$5,$F29&lt;N$5+7),"◆","")</f>
        <v/>
      </c>
      <c r="O29" s="26">
        <f>IF(AND($B29="Jalon",$F29&gt;=O$5,$F29&lt;O$5+7),"◆","")</f>
        <v/>
      </c>
      <c r="P29" s="26">
        <f>IF(AND($B29="Jalon",$F29&gt;=P$5,$F29&lt;P$5+7),"◆","")</f>
        <v/>
      </c>
      <c r="Q29" s="26">
        <f>IF(AND($B29="Jalon",$F29&gt;=Q$5,$F29&lt;Q$5+7),"◆","")</f>
        <v/>
      </c>
      <c r="R29" s="26">
        <f>IF(AND($B29="Jalon",$F29&gt;=R$5,$F29&lt;R$5+7),"◆","")</f>
        <v/>
      </c>
      <c r="S29" s="26">
        <f>IF(AND($B29="Jalon",$F29&gt;=S$5,$F29&lt;S$5+7),"◆","")</f>
        <v/>
      </c>
      <c r="T29" s="26">
        <f>IF(AND($B29="Jalon",$F29&gt;=T$5,$F29&lt;T$5+7),"◆","")</f>
        <v/>
      </c>
      <c r="U29" s="26">
        <f>IF(AND($B29="Jalon",$F29&gt;=U$5,$F29&lt;U$5+7),"◆","")</f>
        <v/>
      </c>
      <c r="V29" s="26">
        <f>IF(AND($B29="Jalon",$F29&gt;=V$5,$F29&lt;V$5+7),"◆","")</f>
        <v/>
      </c>
      <c r="W29" s="26">
        <f>IF(AND($B29="Jalon",$F29&gt;=W$5,$F29&lt;W$5+7),"◆","")</f>
        <v/>
      </c>
      <c r="X29" s="26">
        <f>IF(AND($B29="Jalon",$F29&gt;=X$5,$F29&lt;X$5+7),"◆","")</f>
        <v/>
      </c>
      <c r="Y29" s="26">
        <f>IF(AND($B29="Jalon",$F29&gt;=Y$5,$F29&lt;Y$5+7),"◆","")</f>
        <v/>
      </c>
      <c r="Z29" s="26">
        <f>IF(AND($B29="Jalon",$F29&gt;=Z$5,$F29&lt;Z$5+7),"◆","")</f>
        <v/>
      </c>
      <c r="AA29" s="26">
        <f>IF(AND($B29="Jalon",$F29&gt;=AA$5,$F29&lt;AA$5+7),"◆","")</f>
        <v/>
      </c>
      <c r="AB29" s="26">
        <f>IF(AND($B29="Jalon",$F29&gt;=AB$5,$F29&lt;AB$5+7),"◆","")</f>
        <v/>
      </c>
      <c r="AC29" s="26">
        <f>IF(AND($B29="Jalon",$F29&gt;=AC$5,$F29&lt;AC$5+7),"◆","")</f>
        <v/>
      </c>
      <c r="AD29" s="26">
        <f>IF(AND($B29="Jalon",$F29&gt;=AD$5,$F29&lt;AD$5+7),"◆","")</f>
        <v/>
      </c>
      <c r="AE29" s="26">
        <f>IF(AND($B29="Jalon",$F29&gt;=AE$5,$F29&lt;AE$5+7),"◆","")</f>
        <v/>
      </c>
      <c r="AF29" s="26">
        <f>IF(AND($B29="Jalon",$F29&gt;=AF$5,$F29&lt;AF$5+7),"◆","")</f>
        <v/>
      </c>
      <c r="AG29" s="26">
        <f>IF(AND($B29="Jalon",$F29&gt;=AG$5,$F29&lt;AG$5+7),"◆","")</f>
        <v/>
      </c>
      <c r="AH29" s="26">
        <f>IF(AND($B29="Jalon",$F29&gt;=AH$5,$F29&lt;AH$5+7),"◆","")</f>
        <v/>
      </c>
      <c r="AI29" s="26">
        <f>IF(AND($B29="Jalon",$F29&gt;=AI$5,$F29&lt;AI$5+7),"◆","")</f>
        <v/>
      </c>
    </row>
    <row r="30">
      <c r="B30" s="20" t="n"/>
      <c r="C30" s="20" t="n"/>
      <c r="D30" s="20" t="n"/>
      <c r="E30" s="22" t="n"/>
      <c r="F30" s="22" t="n"/>
      <c r="G30" s="23">
        <f>IF(OR(E30="",F30=""),"",NETWORKDAYS(E30,F30))</f>
        <v/>
      </c>
      <c r="H30" s="24" t="n"/>
      <c r="I30" s="25">
        <f>IF(C30="","",IF(B30="Phase","",IF(H30&gt;=1,"Terminé",IF(AND(F30&lt;&gt;"",TODAY()&gt;F30),"En retard",IF(AND(E30&lt;&gt;"",TODAY()&gt;=E30),"En cours","À venir")))))</f>
        <v/>
      </c>
      <c r="J30" s="26">
        <f>IF(AND($B30="Jalon",$F30&gt;=J$5,$F30&lt;J$5+7),"◆","")</f>
        <v/>
      </c>
      <c r="K30" s="26">
        <f>IF(AND($B30="Jalon",$F30&gt;=K$5,$F30&lt;K$5+7),"◆","")</f>
        <v/>
      </c>
      <c r="L30" s="26">
        <f>IF(AND($B30="Jalon",$F30&gt;=L$5,$F30&lt;L$5+7),"◆","")</f>
        <v/>
      </c>
      <c r="M30" s="26">
        <f>IF(AND($B30="Jalon",$F30&gt;=M$5,$F30&lt;M$5+7),"◆","")</f>
        <v/>
      </c>
      <c r="N30" s="26">
        <f>IF(AND($B30="Jalon",$F30&gt;=N$5,$F30&lt;N$5+7),"◆","")</f>
        <v/>
      </c>
      <c r="O30" s="26">
        <f>IF(AND($B30="Jalon",$F30&gt;=O$5,$F30&lt;O$5+7),"◆","")</f>
        <v/>
      </c>
      <c r="P30" s="26">
        <f>IF(AND($B30="Jalon",$F30&gt;=P$5,$F30&lt;P$5+7),"◆","")</f>
        <v/>
      </c>
      <c r="Q30" s="26">
        <f>IF(AND($B30="Jalon",$F30&gt;=Q$5,$F30&lt;Q$5+7),"◆","")</f>
        <v/>
      </c>
      <c r="R30" s="26">
        <f>IF(AND($B30="Jalon",$F30&gt;=R$5,$F30&lt;R$5+7),"◆","")</f>
        <v/>
      </c>
      <c r="S30" s="26">
        <f>IF(AND($B30="Jalon",$F30&gt;=S$5,$F30&lt;S$5+7),"◆","")</f>
        <v/>
      </c>
      <c r="T30" s="26">
        <f>IF(AND($B30="Jalon",$F30&gt;=T$5,$F30&lt;T$5+7),"◆","")</f>
        <v/>
      </c>
      <c r="U30" s="26">
        <f>IF(AND($B30="Jalon",$F30&gt;=U$5,$F30&lt;U$5+7),"◆","")</f>
        <v/>
      </c>
      <c r="V30" s="26">
        <f>IF(AND($B30="Jalon",$F30&gt;=V$5,$F30&lt;V$5+7),"◆","")</f>
        <v/>
      </c>
      <c r="W30" s="26">
        <f>IF(AND($B30="Jalon",$F30&gt;=W$5,$F30&lt;W$5+7),"◆","")</f>
        <v/>
      </c>
      <c r="X30" s="26">
        <f>IF(AND($B30="Jalon",$F30&gt;=X$5,$F30&lt;X$5+7),"◆","")</f>
        <v/>
      </c>
      <c r="Y30" s="26">
        <f>IF(AND($B30="Jalon",$F30&gt;=Y$5,$F30&lt;Y$5+7),"◆","")</f>
        <v/>
      </c>
      <c r="Z30" s="26">
        <f>IF(AND($B30="Jalon",$F30&gt;=Z$5,$F30&lt;Z$5+7),"◆","")</f>
        <v/>
      </c>
      <c r="AA30" s="26">
        <f>IF(AND($B30="Jalon",$F30&gt;=AA$5,$F30&lt;AA$5+7),"◆","")</f>
        <v/>
      </c>
      <c r="AB30" s="26">
        <f>IF(AND($B30="Jalon",$F30&gt;=AB$5,$F30&lt;AB$5+7),"◆","")</f>
        <v/>
      </c>
      <c r="AC30" s="26">
        <f>IF(AND($B30="Jalon",$F30&gt;=AC$5,$F30&lt;AC$5+7),"◆","")</f>
        <v/>
      </c>
      <c r="AD30" s="26">
        <f>IF(AND($B30="Jalon",$F30&gt;=AD$5,$F30&lt;AD$5+7),"◆","")</f>
        <v/>
      </c>
      <c r="AE30" s="26">
        <f>IF(AND($B30="Jalon",$F30&gt;=AE$5,$F30&lt;AE$5+7),"◆","")</f>
        <v/>
      </c>
      <c r="AF30" s="26">
        <f>IF(AND($B30="Jalon",$F30&gt;=AF$5,$F30&lt;AF$5+7),"◆","")</f>
        <v/>
      </c>
      <c r="AG30" s="26">
        <f>IF(AND($B30="Jalon",$F30&gt;=AG$5,$F30&lt;AG$5+7),"◆","")</f>
        <v/>
      </c>
      <c r="AH30" s="26">
        <f>IF(AND($B30="Jalon",$F30&gt;=AH$5,$F30&lt;AH$5+7),"◆","")</f>
        <v/>
      </c>
      <c r="AI30" s="26">
        <f>IF(AND($B30="Jalon",$F30&gt;=AI$5,$F30&lt;AI$5+7),"◆","")</f>
        <v/>
      </c>
    </row>
    <row r="31">
      <c r="B31" s="20" t="n"/>
      <c r="C31" s="20" t="n"/>
      <c r="D31" s="20" t="n"/>
      <c r="E31" s="22" t="n"/>
      <c r="F31" s="22" t="n"/>
      <c r="G31" s="23">
        <f>IF(OR(E31="",F31=""),"",NETWORKDAYS(E31,F31))</f>
        <v/>
      </c>
      <c r="H31" s="24" t="n"/>
      <c r="I31" s="25">
        <f>IF(C31="","",IF(B31="Phase","",IF(H31&gt;=1,"Terminé",IF(AND(F31&lt;&gt;"",TODAY()&gt;F31),"En retard",IF(AND(E31&lt;&gt;"",TODAY()&gt;=E31),"En cours","À venir")))))</f>
        <v/>
      </c>
      <c r="J31" s="26">
        <f>IF(AND($B31="Jalon",$F31&gt;=J$5,$F31&lt;J$5+7),"◆","")</f>
        <v/>
      </c>
      <c r="K31" s="26">
        <f>IF(AND($B31="Jalon",$F31&gt;=K$5,$F31&lt;K$5+7),"◆","")</f>
        <v/>
      </c>
      <c r="L31" s="26">
        <f>IF(AND($B31="Jalon",$F31&gt;=L$5,$F31&lt;L$5+7),"◆","")</f>
        <v/>
      </c>
      <c r="M31" s="26">
        <f>IF(AND($B31="Jalon",$F31&gt;=M$5,$F31&lt;M$5+7),"◆","")</f>
        <v/>
      </c>
      <c r="N31" s="26">
        <f>IF(AND($B31="Jalon",$F31&gt;=N$5,$F31&lt;N$5+7),"◆","")</f>
        <v/>
      </c>
      <c r="O31" s="26">
        <f>IF(AND($B31="Jalon",$F31&gt;=O$5,$F31&lt;O$5+7),"◆","")</f>
        <v/>
      </c>
      <c r="P31" s="26">
        <f>IF(AND($B31="Jalon",$F31&gt;=P$5,$F31&lt;P$5+7),"◆","")</f>
        <v/>
      </c>
      <c r="Q31" s="26">
        <f>IF(AND($B31="Jalon",$F31&gt;=Q$5,$F31&lt;Q$5+7),"◆","")</f>
        <v/>
      </c>
      <c r="R31" s="26">
        <f>IF(AND($B31="Jalon",$F31&gt;=R$5,$F31&lt;R$5+7),"◆","")</f>
        <v/>
      </c>
      <c r="S31" s="26">
        <f>IF(AND($B31="Jalon",$F31&gt;=S$5,$F31&lt;S$5+7),"◆","")</f>
        <v/>
      </c>
      <c r="T31" s="26">
        <f>IF(AND($B31="Jalon",$F31&gt;=T$5,$F31&lt;T$5+7),"◆","")</f>
        <v/>
      </c>
      <c r="U31" s="26">
        <f>IF(AND($B31="Jalon",$F31&gt;=U$5,$F31&lt;U$5+7),"◆","")</f>
        <v/>
      </c>
      <c r="V31" s="26">
        <f>IF(AND($B31="Jalon",$F31&gt;=V$5,$F31&lt;V$5+7),"◆","")</f>
        <v/>
      </c>
      <c r="W31" s="26">
        <f>IF(AND($B31="Jalon",$F31&gt;=W$5,$F31&lt;W$5+7),"◆","")</f>
        <v/>
      </c>
      <c r="X31" s="26">
        <f>IF(AND($B31="Jalon",$F31&gt;=X$5,$F31&lt;X$5+7),"◆","")</f>
        <v/>
      </c>
      <c r="Y31" s="26">
        <f>IF(AND($B31="Jalon",$F31&gt;=Y$5,$F31&lt;Y$5+7),"◆","")</f>
        <v/>
      </c>
      <c r="Z31" s="26">
        <f>IF(AND($B31="Jalon",$F31&gt;=Z$5,$F31&lt;Z$5+7),"◆","")</f>
        <v/>
      </c>
      <c r="AA31" s="26">
        <f>IF(AND($B31="Jalon",$F31&gt;=AA$5,$F31&lt;AA$5+7),"◆","")</f>
        <v/>
      </c>
      <c r="AB31" s="26">
        <f>IF(AND($B31="Jalon",$F31&gt;=AB$5,$F31&lt;AB$5+7),"◆","")</f>
        <v/>
      </c>
      <c r="AC31" s="26">
        <f>IF(AND($B31="Jalon",$F31&gt;=AC$5,$F31&lt;AC$5+7),"◆","")</f>
        <v/>
      </c>
      <c r="AD31" s="26">
        <f>IF(AND($B31="Jalon",$F31&gt;=AD$5,$F31&lt;AD$5+7),"◆","")</f>
        <v/>
      </c>
      <c r="AE31" s="26">
        <f>IF(AND($B31="Jalon",$F31&gt;=AE$5,$F31&lt;AE$5+7),"◆","")</f>
        <v/>
      </c>
      <c r="AF31" s="26">
        <f>IF(AND($B31="Jalon",$F31&gt;=AF$5,$F31&lt;AF$5+7),"◆","")</f>
        <v/>
      </c>
      <c r="AG31" s="26">
        <f>IF(AND($B31="Jalon",$F31&gt;=AG$5,$F31&lt;AG$5+7),"◆","")</f>
        <v/>
      </c>
      <c r="AH31" s="26">
        <f>IF(AND($B31="Jalon",$F31&gt;=AH$5,$F31&lt;AH$5+7),"◆","")</f>
        <v/>
      </c>
      <c r="AI31" s="26">
        <f>IF(AND($B31="Jalon",$F31&gt;=AI$5,$F31&lt;AI$5+7),"◆","")</f>
        <v/>
      </c>
    </row>
    <row r="32">
      <c r="B32" s="20" t="n"/>
      <c r="C32" s="20" t="n"/>
      <c r="D32" s="20" t="n"/>
      <c r="E32" s="22" t="n"/>
      <c r="F32" s="22" t="n"/>
      <c r="G32" s="23">
        <f>IF(OR(E32="",F32=""),"",NETWORKDAYS(E32,F32))</f>
        <v/>
      </c>
      <c r="H32" s="24" t="n"/>
      <c r="I32" s="25">
        <f>IF(C32="","",IF(B32="Phase","",IF(H32&gt;=1,"Terminé",IF(AND(F32&lt;&gt;"",TODAY()&gt;F32),"En retard",IF(AND(E32&lt;&gt;"",TODAY()&gt;=E32),"En cours","À venir")))))</f>
        <v/>
      </c>
      <c r="J32" s="26">
        <f>IF(AND($B32="Jalon",$F32&gt;=J$5,$F32&lt;J$5+7),"◆","")</f>
        <v/>
      </c>
      <c r="K32" s="26">
        <f>IF(AND($B32="Jalon",$F32&gt;=K$5,$F32&lt;K$5+7),"◆","")</f>
        <v/>
      </c>
      <c r="L32" s="26">
        <f>IF(AND($B32="Jalon",$F32&gt;=L$5,$F32&lt;L$5+7),"◆","")</f>
        <v/>
      </c>
      <c r="M32" s="26">
        <f>IF(AND($B32="Jalon",$F32&gt;=M$5,$F32&lt;M$5+7),"◆","")</f>
        <v/>
      </c>
      <c r="N32" s="26">
        <f>IF(AND($B32="Jalon",$F32&gt;=N$5,$F32&lt;N$5+7),"◆","")</f>
        <v/>
      </c>
      <c r="O32" s="26">
        <f>IF(AND($B32="Jalon",$F32&gt;=O$5,$F32&lt;O$5+7),"◆","")</f>
        <v/>
      </c>
      <c r="P32" s="26">
        <f>IF(AND($B32="Jalon",$F32&gt;=P$5,$F32&lt;P$5+7),"◆","")</f>
        <v/>
      </c>
      <c r="Q32" s="26">
        <f>IF(AND($B32="Jalon",$F32&gt;=Q$5,$F32&lt;Q$5+7),"◆","")</f>
        <v/>
      </c>
      <c r="R32" s="26">
        <f>IF(AND($B32="Jalon",$F32&gt;=R$5,$F32&lt;R$5+7),"◆","")</f>
        <v/>
      </c>
      <c r="S32" s="26">
        <f>IF(AND($B32="Jalon",$F32&gt;=S$5,$F32&lt;S$5+7),"◆","")</f>
        <v/>
      </c>
      <c r="T32" s="26">
        <f>IF(AND($B32="Jalon",$F32&gt;=T$5,$F32&lt;T$5+7),"◆","")</f>
        <v/>
      </c>
      <c r="U32" s="26">
        <f>IF(AND($B32="Jalon",$F32&gt;=U$5,$F32&lt;U$5+7),"◆","")</f>
        <v/>
      </c>
      <c r="V32" s="26">
        <f>IF(AND($B32="Jalon",$F32&gt;=V$5,$F32&lt;V$5+7),"◆","")</f>
        <v/>
      </c>
      <c r="W32" s="26">
        <f>IF(AND($B32="Jalon",$F32&gt;=W$5,$F32&lt;W$5+7),"◆","")</f>
        <v/>
      </c>
      <c r="X32" s="26">
        <f>IF(AND($B32="Jalon",$F32&gt;=X$5,$F32&lt;X$5+7),"◆","")</f>
        <v/>
      </c>
      <c r="Y32" s="26">
        <f>IF(AND($B32="Jalon",$F32&gt;=Y$5,$F32&lt;Y$5+7),"◆","")</f>
        <v/>
      </c>
      <c r="Z32" s="26">
        <f>IF(AND($B32="Jalon",$F32&gt;=Z$5,$F32&lt;Z$5+7),"◆","")</f>
        <v/>
      </c>
      <c r="AA32" s="26">
        <f>IF(AND($B32="Jalon",$F32&gt;=AA$5,$F32&lt;AA$5+7),"◆","")</f>
        <v/>
      </c>
      <c r="AB32" s="26">
        <f>IF(AND($B32="Jalon",$F32&gt;=AB$5,$F32&lt;AB$5+7),"◆","")</f>
        <v/>
      </c>
      <c r="AC32" s="26">
        <f>IF(AND($B32="Jalon",$F32&gt;=AC$5,$F32&lt;AC$5+7),"◆","")</f>
        <v/>
      </c>
      <c r="AD32" s="26">
        <f>IF(AND($B32="Jalon",$F32&gt;=AD$5,$F32&lt;AD$5+7),"◆","")</f>
        <v/>
      </c>
      <c r="AE32" s="26">
        <f>IF(AND($B32="Jalon",$F32&gt;=AE$5,$F32&lt;AE$5+7),"◆","")</f>
        <v/>
      </c>
      <c r="AF32" s="26">
        <f>IF(AND($B32="Jalon",$F32&gt;=AF$5,$F32&lt;AF$5+7),"◆","")</f>
        <v/>
      </c>
      <c r="AG32" s="26">
        <f>IF(AND($B32="Jalon",$F32&gt;=AG$5,$F32&lt;AG$5+7),"◆","")</f>
        <v/>
      </c>
      <c r="AH32" s="26">
        <f>IF(AND($B32="Jalon",$F32&gt;=AH$5,$F32&lt;AH$5+7),"◆","")</f>
        <v/>
      </c>
      <c r="AI32" s="26">
        <f>IF(AND($B32="Jalon",$F32&gt;=AI$5,$F32&lt;AI$5+7),"◆","")</f>
        <v/>
      </c>
    </row>
    <row r="33">
      <c r="B33" s="20" t="n"/>
      <c r="C33" s="20" t="n"/>
      <c r="D33" s="20" t="n"/>
      <c r="E33" s="22" t="n"/>
      <c r="F33" s="22" t="n"/>
      <c r="G33" s="23">
        <f>IF(OR(E33="",F33=""),"",NETWORKDAYS(E33,F33))</f>
        <v/>
      </c>
      <c r="H33" s="24" t="n"/>
      <c r="I33" s="25">
        <f>IF(C33="","",IF(B33="Phase","",IF(H33&gt;=1,"Terminé",IF(AND(F33&lt;&gt;"",TODAY()&gt;F33),"En retard",IF(AND(E33&lt;&gt;"",TODAY()&gt;=E33),"En cours","À venir")))))</f>
        <v/>
      </c>
      <c r="J33" s="26">
        <f>IF(AND($B33="Jalon",$F33&gt;=J$5,$F33&lt;J$5+7),"◆","")</f>
        <v/>
      </c>
      <c r="K33" s="26">
        <f>IF(AND($B33="Jalon",$F33&gt;=K$5,$F33&lt;K$5+7),"◆","")</f>
        <v/>
      </c>
      <c r="L33" s="26">
        <f>IF(AND($B33="Jalon",$F33&gt;=L$5,$F33&lt;L$5+7),"◆","")</f>
        <v/>
      </c>
      <c r="M33" s="26">
        <f>IF(AND($B33="Jalon",$F33&gt;=M$5,$F33&lt;M$5+7),"◆","")</f>
        <v/>
      </c>
      <c r="N33" s="26">
        <f>IF(AND($B33="Jalon",$F33&gt;=N$5,$F33&lt;N$5+7),"◆","")</f>
        <v/>
      </c>
      <c r="O33" s="26">
        <f>IF(AND($B33="Jalon",$F33&gt;=O$5,$F33&lt;O$5+7),"◆","")</f>
        <v/>
      </c>
      <c r="P33" s="26">
        <f>IF(AND($B33="Jalon",$F33&gt;=P$5,$F33&lt;P$5+7),"◆","")</f>
        <v/>
      </c>
      <c r="Q33" s="26">
        <f>IF(AND($B33="Jalon",$F33&gt;=Q$5,$F33&lt;Q$5+7),"◆","")</f>
        <v/>
      </c>
      <c r="R33" s="26">
        <f>IF(AND($B33="Jalon",$F33&gt;=R$5,$F33&lt;R$5+7),"◆","")</f>
        <v/>
      </c>
      <c r="S33" s="26">
        <f>IF(AND($B33="Jalon",$F33&gt;=S$5,$F33&lt;S$5+7),"◆","")</f>
        <v/>
      </c>
      <c r="T33" s="26">
        <f>IF(AND($B33="Jalon",$F33&gt;=T$5,$F33&lt;T$5+7),"◆","")</f>
        <v/>
      </c>
      <c r="U33" s="26">
        <f>IF(AND($B33="Jalon",$F33&gt;=U$5,$F33&lt;U$5+7),"◆","")</f>
        <v/>
      </c>
      <c r="V33" s="26">
        <f>IF(AND($B33="Jalon",$F33&gt;=V$5,$F33&lt;V$5+7),"◆","")</f>
        <v/>
      </c>
      <c r="W33" s="26">
        <f>IF(AND($B33="Jalon",$F33&gt;=W$5,$F33&lt;W$5+7),"◆","")</f>
        <v/>
      </c>
      <c r="X33" s="26">
        <f>IF(AND($B33="Jalon",$F33&gt;=X$5,$F33&lt;X$5+7),"◆","")</f>
        <v/>
      </c>
      <c r="Y33" s="26">
        <f>IF(AND($B33="Jalon",$F33&gt;=Y$5,$F33&lt;Y$5+7),"◆","")</f>
        <v/>
      </c>
      <c r="Z33" s="26">
        <f>IF(AND($B33="Jalon",$F33&gt;=Z$5,$F33&lt;Z$5+7),"◆","")</f>
        <v/>
      </c>
      <c r="AA33" s="26">
        <f>IF(AND($B33="Jalon",$F33&gt;=AA$5,$F33&lt;AA$5+7),"◆","")</f>
        <v/>
      </c>
      <c r="AB33" s="26">
        <f>IF(AND($B33="Jalon",$F33&gt;=AB$5,$F33&lt;AB$5+7),"◆","")</f>
        <v/>
      </c>
      <c r="AC33" s="26">
        <f>IF(AND($B33="Jalon",$F33&gt;=AC$5,$F33&lt;AC$5+7),"◆","")</f>
        <v/>
      </c>
      <c r="AD33" s="26">
        <f>IF(AND($B33="Jalon",$F33&gt;=AD$5,$F33&lt;AD$5+7),"◆","")</f>
        <v/>
      </c>
      <c r="AE33" s="26">
        <f>IF(AND($B33="Jalon",$F33&gt;=AE$5,$F33&lt;AE$5+7),"◆","")</f>
        <v/>
      </c>
      <c r="AF33" s="26">
        <f>IF(AND($B33="Jalon",$F33&gt;=AF$5,$F33&lt;AF$5+7),"◆","")</f>
        <v/>
      </c>
      <c r="AG33" s="26">
        <f>IF(AND($B33="Jalon",$F33&gt;=AG$5,$F33&lt;AG$5+7),"◆","")</f>
        <v/>
      </c>
      <c r="AH33" s="26">
        <f>IF(AND($B33="Jalon",$F33&gt;=AH$5,$F33&lt;AH$5+7),"◆","")</f>
        <v/>
      </c>
      <c r="AI33" s="26">
        <f>IF(AND($B33="Jalon",$F33&gt;=AI$5,$F33&lt;AI$5+7),"◆","")</f>
        <v/>
      </c>
    </row>
    <row r="34">
      <c r="B34" s="20" t="n"/>
      <c r="C34" s="20" t="n"/>
      <c r="D34" s="20" t="n"/>
      <c r="E34" s="22" t="n"/>
      <c r="F34" s="22" t="n"/>
      <c r="G34" s="23">
        <f>IF(OR(E34="",F34=""),"",NETWORKDAYS(E34,F34))</f>
        <v/>
      </c>
      <c r="H34" s="24" t="n"/>
      <c r="I34" s="25">
        <f>IF(C34="","",IF(B34="Phase","",IF(H34&gt;=1,"Terminé",IF(AND(F34&lt;&gt;"",TODAY()&gt;F34),"En retard",IF(AND(E34&lt;&gt;"",TODAY()&gt;=E34),"En cours","À venir")))))</f>
        <v/>
      </c>
      <c r="J34" s="26">
        <f>IF(AND($B34="Jalon",$F34&gt;=J$5,$F34&lt;J$5+7),"◆","")</f>
        <v/>
      </c>
      <c r="K34" s="26">
        <f>IF(AND($B34="Jalon",$F34&gt;=K$5,$F34&lt;K$5+7),"◆","")</f>
        <v/>
      </c>
      <c r="L34" s="26">
        <f>IF(AND($B34="Jalon",$F34&gt;=L$5,$F34&lt;L$5+7),"◆","")</f>
        <v/>
      </c>
      <c r="M34" s="26">
        <f>IF(AND($B34="Jalon",$F34&gt;=M$5,$F34&lt;M$5+7),"◆","")</f>
        <v/>
      </c>
      <c r="N34" s="26">
        <f>IF(AND($B34="Jalon",$F34&gt;=N$5,$F34&lt;N$5+7),"◆","")</f>
        <v/>
      </c>
      <c r="O34" s="26">
        <f>IF(AND($B34="Jalon",$F34&gt;=O$5,$F34&lt;O$5+7),"◆","")</f>
        <v/>
      </c>
      <c r="P34" s="26">
        <f>IF(AND($B34="Jalon",$F34&gt;=P$5,$F34&lt;P$5+7),"◆","")</f>
        <v/>
      </c>
      <c r="Q34" s="26">
        <f>IF(AND($B34="Jalon",$F34&gt;=Q$5,$F34&lt;Q$5+7),"◆","")</f>
        <v/>
      </c>
      <c r="R34" s="26">
        <f>IF(AND($B34="Jalon",$F34&gt;=R$5,$F34&lt;R$5+7),"◆","")</f>
        <v/>
      </c>
      <c r="S34" s="26">
        <f>IF(AND($B34="Jalon",$F34&gt;=S$5,$F34&lt;S$5+7),"◆","")</f>
        <v/>
      </c>
      <c r="T34" s="26">
        <f>IF(AND($B34="Jalon",$F34&gt;=T$5,$F34&lt;T$5+7),"◆","")</f>
        <v/>
      </c>
      <c r="U34" s="26">
        <f>IF(AND($B34="Jalon",$F34&gt;=U$5,$F34&lt;U$5+7),"◆","")</f>
        <v/>
      </c>
      <c r="V34" s="26">
        <f>IF(AND($B34="Jalon",$F34&gt;=V$5,$F34&lt;V$5+7),"◆","")</f>
        <v/>
      </c>
      <c r="W34" s="26">
        <f>IF(AND($B34="Jalon",$F34&gt;=W$5,$F34&lt;W$5+7),"◆","")</f>
        <v/>
      </c>
      <c r="X34" s="26">
        <f>IF(AND($B34="Jalon",$F34&gt;=X$5,$F34&lt;X$5+7),"◆","")</f>
        <v/>
      </c>
      <c r="Y34" s="26">
        <f>IF(AND($B34="Jalon",$F34&gt;=Y$5,$F34&lt;Y$5+7),"◆","")</f>
        <v/>
      </c>
      <c r="Z34" s="26">
        <f>IF(AND($B34="Jalon",$F34&gt;=Z$5,$F34&lt;Z$5+7),"◆","")</f>
        <v/>
      </c>
      <c r="AA34" s="26">
        <f>IF(AND($B34="Jalon",$F34&gt;=AA$5,$F34&lt;AA$5+7),"◆","")</f>
        <v/>
      </c>
      <c r="AB34" s="26">
        <f>IF(AND($B34="Jalon",$F34&gt;=AB$5,$F34&lt;AB$5+7),"◆","")</f>
        <v/>
      </c>
      <c r="AC34" s="26">
        <f>IF(AND($B34="Jalon",$F34&gt;=AC$5,$F34&lt;AC$5+7),"◆","")</f>
        <v/>
      </c>
      <c r="AD34" s="26">
        <f>IF(AND($B34="Jalon",$F34&gt;=AD$5,$F34&lt;AD$5+7),"◆","")</f>
        <v/>
      </c>
      <c r="AE34" s="26">
        <f>IF(AND($B34="Jalon",$F34&gt;=AE$5,$F34&lt;AE$5+7),"◆","")</f>
        <v/>
      </c>
      <c r="AF34" s="26">
        <f>IF(AND($B34="Jalon",$F34&gt;=AF$5,$F34&lt;AF$5+7),"◆","")</f>
        <v/>
      </c>
      <c r="AG34" s="26">
        <f>IF(AND($B34="Jalon",$F34&gt;=AG$5,$F34&lt;AG$5+7),"◆","")</f>
        <v/>
      </c>
      <c r="AH34" s="26">
        <f>IF(AND($B34="Jalon",$F34&gt;=AH$5,$F34&lt;AH$5+7),"◆","")</f>
        <v/>
      </c>
      <c r="AI34" s="26">
        <f>IF(AND($B34="Jalon",$F34&gt;=AI$5,$F34&lt;AI$5+7),"◆","")</f>
        <v/>
      </c>
    </row>
    <row r="35">
      <c r="B35" s="20" t="n"/>
      <c r="C35" s="20" t="n"/>
      <c r="D35" s="20" t="n"/>
      <c r="E35" s="22" t="n"/>
      <c r="F35" s="22" t="n"/>
      <c r="G35" s="23">
        <f>IF(OR(E35="",F35=""),"",NETWORKDAYS(E35,F35))</f>
        <v/>
      </c>
      <c r="H35" s="24" t="n"/>
      <c r="I35" s="25">
        <f>IF(C35="","",IF(B35="Phase","",IF(H35&gt;=1,"Terminé",IF(AND(F35&lt;&gt;"",TODAY()&gt;F35),"En retard",IF(AND(E35&lt;&gt;"",TODAY()&gt;=E35),"En cours","À venir")))))</f>
        <v/>
      </c>
      <c r="J35" s="26">
        <f>IF(AND($B35="Jalon",$F35&gt;=J$5,$F35&lt;J$5+7),"◆","")</f>
        <v/>
      </c>
      <c r="K35" s="26">
        <f>IF(AND($B35="Jalon",$F35&gt;=K$5,$F35&lt;K$5+7),"◆","")</f>
        <v/>
      </c>
      <c r="L35" s="26">
        <f>IF(AND($B35="Jalon",$F35&gt;=L$5,$F35&lt;L$5+7),"◆","")</f>
        <v/>
      </c>
      <c r="M35" s="26">
        <f>IF(AND($B35="Jalon",$F35&gt;=M$5,$F35&lt;M$5+7),"◆","")</f>
        <v/>
      </c>
      <c r="N35" s="26">
        <f>IF(AND($B35="Jalon",$F35&gt;=N$5,$F35&lt;N$5+7),"◆","")</f>
        <v/>
      </c>
      <c r="O35" s="26">
        <f>IF(AND($B35="Jalon",$F35&gt;=O$5,$F35&lt;O$5+7),"◆","")</f>
        <v/>
      </c>
      <c r="P35" s="26">
        <f>IF(AND($B35="Jalon",$F35&gt;=P$5,$F35&lt;P$5+7),"◆","")</f>
        <v/>
      </c>
      <c r="Q35" s="26">
        <f>IF(AND($B35="Jalon",$F35&gt;=Q$5,$F35&lt;Q$5+7),"◆","")</f>
        <v/>
      </c>
      <c r="R35" s="26">
        <f>IF(AND($B35="Jalon",$F35&gt;=R$5,$F35&lt;R$5+7),"◆","")</f>
        <v/>
      </c>
      <c r="S35" s="26">
        <f>IF(AND($B35="Jalon",$F35&gt;=S$5,$F35&lt;S$5+7),"◆","")</f>
        <v/>
      </c>
      <c r="T35" s="26">
        <f>IF(AND($B35="Jalon",$F35&gt;=T$5,$F35&lt;T$5+7),"◆","")</f>
        <v/>
      </c>
      <c r="U35" s="26">
        <f>IF(AND($B35="Jalon",$F35&gt;=U$5,$F35&lt;U$5+7),"◆","")</f>
        <v/>
      </c>
      <c r="V35" s="26">
        <f>IF(AND($B35="Jalon",$F35&gt;=V$5,$F35&lt;V$5+7),"◆","")</f>
        <v/>
      </c>
      <c r="W35" s="26">
        <f>IF(AND($B35="Jalon",$F35&gt;=W$5,$F35&lt;W$5+7),"◆","")</f>
        <v/>
      </c>
      <c r="X35" s="26">
        <f>IF(AND($B35="Jalon",$F35&gt;=X$5,$F35&lt;X$5+7),"◆","")</f>
        <v/>
      </c>
      <c r="Y35" s="26">
        <f>IF(AND($B35="Jalon",$F35&gt;=Y$5,$F35&lt;Y$5+7),"◆","")</f>
        <v/>
      </c>
      <c r="Z35" s="26">
        <f>IF(AND($B35="Jalon",$F35&gt;=Z$5,$F35&lt;Z$5+7),"◆","")</f>
        <v/>
      </c>
      <c r="AA35" s="26">
        <f>IF(AND($B35="Jalon",$F35&gt;=AA$5,$F35&lt;AA$5+7),"◆","")</f>
        <v/>
      </c>
      <c r="AB35" s="26">
        <f>IF(AND($B35="Jalon",$F35&gt;=AB$5,$F35&lt;AB$5+7),"◆","")</f>
        <v/>
      </c>
      <c r="AC35" s="26">
        <f>IF(AND($B35="Jalon",$F35&gt;=AC$5,$F35&lt;AC$5+7),"◆","")</f>
        <v/>
      </c>
      <c r="AD35" s="26">
        <f>IF(AND($B35="Jalon",$F35&gt;=AD$5,$F35&lt;AD$5+7),"◆","")</f>
        <v/>
      </c>
      <c r="AE35" s="26">
        <f>IF(AND($B35="Jalon",$F35&gt;=AE$5,$F35&lt;AE$5+7),"◆","")</f>
        <v/>
      </c>
      <c r="AF35" s="26">
        <f>IF(AND($B35="Jalon",$F35&gt;=AF$5,$F35&lt;AF$5+7),"◆","")</f>
        <v/>
      </c>
      <c r="AG35" s="26">
        <f>IF(AND($B35="Jalon",$F35&gt;=AG$5,$F35&lt;AG$5+7),"◆","")</f>
        <v/>
      </c>
      <c r="AH35" s="26">
        <f>IF(AND($B35="Jalon",$F35&gt;=AH$5,$F35&lt;AH$5+7),"◆","")</f>
        <v/>
      </c>
      <c r="AI35" s="26">
        <f>IF(AND($B35="Jalon",$F35&gt;=AI$5,$F35&lt;AI$5+7),"◆","")</f>
        <v/>
      </c>
    </row>
    <row r="36">
      <c r="B36" s="20" t="n"/>
      <c r="C36" s="20" t="n"/>
      <c r="D36" s="20" t="n"/>
      <c r="E36" s="22" t="n"/>
      <c r="F36" s="22" t="n"/>
      <c r="G36" s="23">
        <f>IF(OR(E36="",F36=""),"",NETWORKDAYS(E36,F36))</f>
        <v/>
      </c>
      <c r="H36" s="24" t="n"/>
      <c r="I36" s="25">
        <f>IF(C36="","",IF(B36="Phase","",IF(H36&gt;=1,"Terminé",IF(AND(F36&lt;&gt;"",TODAY()&gt;F36),"En retard",IF(AND(E36&lt;&gt;"",TODAY()&gt;=E36),"En cours","À venir")))))</f>
        <v/>
      </c>
      <c r="J36" s="26">
        <f>IF(AND($B36="Jalon",$F36&gt;=J$5,$F36&lt;J$5+7),"◆","")</f>
        <v/>
      </c>
      <c r="K36" s="26">
        <f>IF(AND($B36="Jalon",$F36&gt;=K$5,$F36&lt;K$5+7),"◆","")</f>
        <v/>
      </c>
      <c r="L36" s="26">
        <f>IF(AND($B36="Jalon",$F36&gt;=L$5,$F36&lt;L$5+7),"◆","")</f>
        <v/>
      </c>
      <c r="M36" s="26">
        <f>IF(AND($B36="Jalon",$F36&gt;=M$5,$F36&lt;M$5+7),"◆","")</f>
        <v/>
      </c>
      <c r="N36" s="26">
        <f>IF(AND($B36="Jalon",$F36&gt;=N$5,$F36&lt;N$5+7),"◆","")</f>
        <v/>
      </c>
      <c r="O36" s="26">
        <f>IF(AND($B36="Jalon",$F36&gt;=O$5,$F36&lt;O$5+7),"◆","")</f>
        <v/>
      </c>
      <c r="P36" s="26">
        <f>IF(AND($B36="Jalon",$F36&gt;=P$5,$F36&lt;P$5+7),"◆","")</f>
        <v/>
      </c>
      <c r="Q36" s="26">
        <f>IF(AND($B36="Jalon",$F36&gt;=Q$5,$F36&lt;Q$5+7),"◆","")</f>
        <v/>
      </c>
      <c r="R36" s="26">
        <f>IF(AND($B36="Jalon",$F36&gt;=R$5,$F36&lt;R$5+7),"◆","")</f>
        <v/>
      </c>
      <c r="S36" s="26">
        <f>IF(AND($B36="Jalon",$F36&gt;=S$5,$F36&lt;S$5+7),"◆","")</f>
        <v/>
      </c>
      <c r="T36" s="26">
        <f>IF(AND($B36="Jalon",$F36&gt;=T$5,$F36&lt;T$5+7),"◆","")</f>
        <v/>
      </c>
      <c r="U36" s="26">
        <f>IF(AND($B36="Jalon",$F36&gt;=U$5,$F36&lt;U$5+7),"◆","")</f>
        <v/>
      </c>
      <c r="V36" s="26">
        <f>IF(AND($B36="Jalon",$F36&gt;=V$5,$F36&lt;V$5+7),"◆","")</f>
        <v/>
      </c>
      <c r="W36" s="26">
        <f>IF(AND($B36="Jalon",$F36&gt;=W$5,$F36&lt;W$5+7),"◆","")</f>
        <v/>
      </c>
      <c r="X36" s="26">
        <f>IF(AND($B36="Jalon",$F36&gt;=X$5,$F36&lt;X$5+7),"◆","")</f>
        <v/>
      </c>
      <c r="Y36" s="26">
        <f>IF(AND($B36="Jalon",$F36&gt;=Y$5,$F36&lt;Y$5+7),"◆","")</f>
        <v/>
      </c>
      <c r="Z36" s="26">
        <f>IF(AND($B36="Jalon",$F36&gt;=Z$5,$F36&lt;Z$5+7),"◆","")</f>
        <v/>
      </c>
      <c r="AA36" s="26">
        <f>IF(AND($B36="Jalon",$F36&gt;=AA$5,$F36&lt;AA$5+7),"◆","")</f>
        <v/>
      </c>
      <c r="AB36" s="26">
        <f>IF(AND($B36="Jalon",$F36&gt;=AB$5,$F36&lt;AB$5+7),"◆","")</f>
        <v/>
      </c>
      <c r="AC36" s="26">
        <f>IF(AND($B36="Jalon",$F36&gt;=AC$5,$F36&lt;AC$5+7),"◆","")</f>
        <v/>
      </c>
      <c r="AD36" s="26">
        <f>IF(AND($B36="Jalon",$F36&gt;=AD$5,$F36&lt;AD$5+7),"◆","")</f>
        <v/>
      </c>
      <c r="AE36" s="26">
        <f>IF(AND($B36="Jalon",$F36&gt;=AE$5,$F36&lt;AE$5+7),"◆","")</f>
        <v/>
      </c>
      <c r="AF36" s="26">
        <f>IF(AND($B36="Jalon",$F36&gt;=AF$5,$F36&lt;AF$5+7),"◆","")</f>
        <v/>
      </c>
      <c r="AG36" s="26">
        <f>IF(AND($B36="Jalon",$F36&gt;=AG$5,$F36&lt;AG$5+7),"◆","")</f>
        <v/>
      </c>
      <c r="AH36" s="26">
        <f>IF(AND($B36="Jalon",$F36&gt;=AH$5,$F36&lt;AH$5+7),"◆","")</f>
        <v/>
      </c>
      <c r="AI36" s="26">
        <f>IF(AND($B36="Jalon",$F36&gt;=AI$5,$F36&lt;AI$5+7),"◆","")</f>
        <v/>
      </c>
    </row>
    <row r="37">
      <c r="B37" s="20" t="n"/>
      <c r="C37" s="20" t="n"/>
      <c r="D37" s="20" t="n"/>
      <c r="E37" s="22" t="n"/>
      <c r="F37" s="22" t="n"/>
      <c r="G37" s="23">
        <f>IF(OR(E37="",F37=""),"",NETWORKDAYS(E37,F37))</f>
        <v/>
      </c>
      <c r="H37" s="24" t="n"/>
      <c r="I37" s="25">
        <f>IF(C37="","",IF(B37="Phase","",IF(H37&gt;=1,"Terminé",IF(AND(F37&lt;&gt;"",TODAY()&gt;F37),"En retard",IF(AND(E37&lt;&gt;"",TODAY()&gt;=E37),"En cours","À venir")))))</f>
        <v/>
      </c>
      <c r="J37" s="26">
        <f>IF(AND($B37="Jalon",$F37&gt;=J$5,$F37&lt;J$5+7),"◆","")</f>
        <v/>
      </c>
      <c r="K37" s="26">
        <f>IF(AND($B37="Jalon",$F37&gt;=K$5,$F37&lt;K$5+7),"◆","")</f>
        <v/>
      </c>
      <c r="L37" s="26">
        <f>IF(AND($B37="Jalon",$F37&gt;=L$5,$F37&lt;L$5+7),"◆","")</f>
        <v/>
      </c>
      <c r="M37" s="26">
        <f>IF(AND($B37="Jalon",$F37&gt;=M$5,$F37&lt;M$5+7),"◆","")</f>
        <v/>
      </c>
      <c r="N37" s="26">
        <f>IF(AND($B37="Jalon",$F37&gt;=N$5,$F37&lt;N$5+7),"◆","")</f>
        <v/>
      </c>
      <c r="O37" s="26">
        <f>IF(AND($B37="Jalon",$F37&gt;=O$5,$F37&lt;O$5+7),"◆","")</f>
        <v/>
      </c>
      <c r="P37" s="26">
        <f>IF(AND($B37="Jalon",$F37&gt;=P$5,$F37&lt;P$5+7),"◆","")</f>
        <v/>
      </c>
      <c r="Q37" s="26">
        <f>IF(AND($B37="Jalon",$F37&gt;=Q$5,$F37&lt;Q$5+7),"◆","")</f>
        <v/>
      </c>
      <c r="R37" s="26">
        <f>IF(AND($B37="Jalon",$F37&gt;=R$5,$F37&lt;R$5+7),"◆","")</f>
        <v/>
      </c>
      <c r="S37" s="26">
        <f>IF(AND($B37="Jalon",$F37&gt;=S$5,$F37&lt;S$5+7),"◆","")</f>
        <v/>
      </c>
      <c r="T37" s="26">
        <f>IF(AND($B37="Jalon",$F37&gt;=T$5,$F37&lt;T$5+7),"◆","")</f>
        <v/>
      </c>
      <c r="U37" s="26">
        <f>IF(AND($B37="Jalon",$F37&gt;=U$5,$F37&lt;U$5+7),"◆","")</f>
        <v/>
      </c>
      <c r="V37" s="26">
        <f>IF(AND($B37="Jalon",$F37&gt;=V$5,$F37&lt;V$5+7),"◆","")</f>
        <v/>
      </c>
      <c r="W37" s="26">
        <f>IF(AND($B37="Jalon",$F37&gt;=W$5,$F37&lt;W$5+7),"◆","")</f>
        <v/>
      </c>
      <c r="X37" s="26">
        <f>IF(AND($B37="Jalon",$F37&gt;=X$5,$F37&lt;X$5+7),"◆","")</f>
        <v/>
      </c>
      <c r="Y37" s="26">
        <f>IF(AND($B37="Jalon",$F37&gt;=Y$5,$F37&lt;Y$5+7),"◆","")</f>
        <v/>
      </c>
      <c r="Z37" s="26">
        <f>IF(AND($B37="Jalon",$F37&gt;=Z$5,$F37&lt;Z$5+7),"◆","")</f>
        <v/>
      </c>
      <c r="AA37" s="26">
        <f>IF(AND($B37="Jalon",$F37&gt;=AA$5,$F37&lt;AA$5+7),"◆","")</f>
        <v/>
      </c>
      <c r="AB37" s="26">
        <f>IF(AND($B37="Jalon",$F37&gt;=AB$5,$F37&lt;AB$5+7),"◆","")</f>
        <v/>
      </c>
      <c r="AC37" s="26">
        <f>IF(AND($B37="Jalon",$F37&gt;=AC$5,$F37&lt;AC$5+7),"◆","")</f>
        <v/>
      </c>
      <c r="AD37" s="26">
        <f>IF(AND($B37="Jalon",$F37&gt;=AD$5,$F37&lt;AD$5+7),"◆","")</f>
        <v/>
      </c>
      <c r="AE37" s="26">
        <f>IF(AND($B37="Jalon",$F37&gt;=AE$5,$F37&lt;AE$5+7),"◆","")</f>
        <v/>
      </c>
      <c r="AF37" s="26">
        <f>IF(AND($B37="Jalon",$F37&gt;=AF$5,$F37&lt;AF$5+7),"◆","")</f>
        <v/>
      </c>
      <c r="AG37" s="26">
        <f>IF(AND($B37="Jalon",$F37&gt;=AG$5,$F37&lt;AG$5+7),"◆","")</f>
        <v/>
      </c>
      <c r="AH37" s="26">
        <f>IF(AND($B37="Jalon",$F37&gt;=AH$5,$F37&lt;AH$5+7),"◆","")</f>
        <v/>
      </c>
      <c r="AI37" s="26">
        <f>IF(AND($B37="Jalon",$F37&gt;=AI$5,$F37&lt;AI$5+7),"◆","")</f>
        <v/>
      </c>
    </row>
    <row r="38">
      <c r="B38" s="20" t="n"/>
      <c r="C38" s="20" t="n"/>
      <c r="D38" s="20" t="n"/>
      <c r="E38" s="22" t="n"/>
      <c r="F38" s="22" t="n"/>
      <c r="G38" s="23">
        <f>IF(OR(E38="",F38=""),"",NETWORKDAYS(E38,F38))</f>
        <v/>
      </c>
      <c r="H38" s="24" t="n"/>
      <c r="I38" s="25">
        <f>IF(C38="","",IF(B38="Phase","",IF(H38&gt;=1,"Terminé",IF(AND(F38&lt;&gt;"",TODAY()&gt;F38),"En retard",IF(AND(E38&lt;&gt;"",TODAY()&gt;=E38),"En cours","À venir")))))</f>
        <v/>
      </c>
      <c r="J38" s="26">
        <f>IF(AND($B38="Jalon",$F38&gt;=J$5,$F38&lt;J$5+7),"◆","")</f>
        <v/>
      </c>
      <c r="K38" s="26">
        <f>IF(AND($B38="Jalon",$F38&gt;=K$5,$F38&lt;K$5+7),"◆","")</f>
        <v/>
      </c>
      <c r="L38" s="26">
        <f>IF(AND($B38="Jalon",$F38&gt;=L$5,$F38&lt;L$5+7),"◆","")</f>
        <v/>
      </c>
      <c r="M38" s="26">
        <f>IF(AND($B38="Jalon",$F38&gt;=M$5,$F38&lt;M$5+7),"◆","")</f>
        <v/>
      </c>
      <c r="N38" s="26">
        <f>IF(AND($B38="Jalon",$F38&gt;=N$5,$F38&lt;N$5+7),"◆","")</f>
        <v/>
      </c>
      <c r="O38" s="26">
        <f>IF(AND($B38="Jalon",$F38&gt;=O$5,$F38&lt;O$5+7),"◆","")</f>
        <v/>
      </c>
      <c r="P38" s="26">
        <f>IF(AND($B38="Jalon",$F38&gt;=P$5,$F38&lt;P$5+7),"◆","")</f>
        <v/>
      </c>
      <c r="Q38" s="26">
        <f>IF(AND($B38="Jalon",$F38&gt;=Q$5,$F38&lt;Q$5+7),"◆","")</f>
        <v/>
      </c>
      <c r="R38" s="26">
        <f>IF(AND($B38="Jalon",$F38&gt;=R$5,$F38&lt;R$5+7),"◆","")</f>
        <v/>
      </c>
      <c r="S38" s="26">
        <f>IF(AND($B38="Jalon",$F38&gt;=S$5,$F38&lt;S$5+7),"◆","")</f>
        <v/>
      </c>
      <c r="T38" s="26">
        <f>IF(AND($B38="Jalon",$F38&gt;=T$5,$F38&lt;T$5+7),"◆","")</f>
        <v/>
      </c>
      <c r="U38" s="26">
        <f>IF(AND($B38="Jalon",$F38&gt;=U$5,$F38&lt;U$5+7),"◆","")</f>
        <v/>
      </c>
      <c r="V38" s="26">
        <f>IF(AND($B38="Jalon",$F38&gt;=V$5,$F38&lt;V$5+7),"◆","")</f>
        <v/>
      </c>
      <c r="W38" s="26">
        <f>IF(AND($B38="Jalon",$F38&gt;=W$5,$F38&lt;W$5+7),"◆","")</f>
        <v/>
      </c>
      <c r="X38" s="26">
        <f>IF(AND($B38="Jalon",$F38&gt;=X$5,$F38&lt;X$5+7),"◆","")</f>
        <v/>
      </c>
      <c r="Y38" s="26">
        <f>IF(AND($B38="Jalon",$F38&gt;=Y$5,$F38&lt;Y$5+7),"◆","")</f>
        <v/>
      </c>
      <c r="Z38" s="26">
        <f>IF(AND($B38="Jalon",$F38&gt;=Z$5,$F38&lt;Z$5+7),"◆","")</f>
        <v/>
      </c>
      <c r="AA38" s="26">
        <f>IF(AND($B38="Jalon",$F38&gt;=AA$5,$F38&lt;AA$5+7),"◆","")</f>
        <v/>
      </c>
      <c r="AB38" s="26">
        <f>IF(AND($B38="Jalon",$F38&gt;=AB$5,$F38&lt;AB$5+7),"◆","")</f>
        <v/>
      </c>
      <c r="AC38" s="26">
        <f>IF(AND($B38="Jalon",$F38&gt;=AC$5,$F38&lt;AC$5+7),"◆","")</f>
        <v/>
      </c>
      <c r="AD38" s="26">
        <f>IF(AND($B38="Jalon",$F38&gt;=AD$5,$F38&lt;AD$5+7),"◆","")</f>
        <v/>
      </c>
      <c r="AE38" s="26">
        <f>IF(AND($B38="Jalon",$F38&gt;=AE$5,$F38&lt;AE$5+7),"◆","")</f>
        <v/>
      </c>
      <c r="AF38" s="26">
        <f>IF(AND($B38="Jalon",$F38&gt;=AF$5,$F38&lt;AF$5+7),"◆","")</f>
        <v/>
      </c>
      <c r="AG38" s="26">
        <f>IF(AND($B38="Jalon",$F38&gt;=AG$5,$F38&lt;AG$5+7),"◆","")</f>
        <v/>
      </c>
      <c r="AH38" s="26">
        <f>IF(AND($B38="Jalon",$F38&gt;=AH$5,$F38&lt;AH$5+7),"◆","")</f>
        <v/>
      </c>
      <c r="AI38" s="26">
        <f>IF(AND($B38="Jalon",$F38&gt;=AI$5,$F38&lt;AI$5+7),"◆","")</f>
        <v/>
      </c>
    </row>
    <row r="39">
      <c r="B39" s="20" t="n"/>
      <c r="C39" s="20" t="n"/>
      <c r="D39" s="20" t="n"/>
      <c r="E39" s="22" t="n"/>
      <c r="F39" s="22" t="n"/>
      <c r="G39" s="23">
        <f>IF(OR(E39="",F39=""),"",NETWORKDAYS(E39,F39))</f>
        <v/>
      </c>
      <c r="H39" s="24" t="n"/>
      <c r="I39" s="25">
        <f>IF(C39="","",IF(B39="Phase","",IF(H39&gt;=1,"Terminé",IF(AND(F39&lt;&gt;"",TODAY()&gt;F39),"En retard",IF(AND(E39&lt;&gt;"",TODAY()&gt;=E39),"En cours","À venir")))))</f>
        <v/>
      </c>
      <c r="J39" s="26">
        <f>IF(AND($B39="Jalon",$F39&gt;=J$5,$F39&lt;J$5+7),"◆","")</f>
        <v/>
      </c>
      <c r="K39" s="26">
        <f>IF(AND($B39="Jalon",$F39&gt;=K$5,$F39&lt;K$5+7),"◆","")</f>
        <v/>
      </c>
      <c r="L39" s="26">
        <f>IF(AND($B39="Jalon",$F39&gt;=L$5,$F39&lt;L$5+7),"◆","")</f>
        <v/>
      </c>
      <c r="M39" s="26">
        <f>IF(AND($B39="Jalon",$F39&gt;=M$5,$F39&lt;M$5+7),"◆","")</f>
        <v/>
      </c>
      <c r="N39" s="26">
        <f>IF(AND($B39="Jalon",$F39&gt;=N$5,$F39&lt;N$5+7),"◆","")</f>
        <v/>
      </c>
      <c r="O39" s="26">
        <f>IF(AND($B39="Jalon",$F39&gt;=O$5,$F39&lt;O$5+7),"◆","")</f>
        <v/>
      </c>
      <c r="P39" s="26">
        <f>IF(AND($B39="Jalon",$F39&gt;=P$5,$F39&lt;P$5+7),"◆","")</f>
        <v/>
      </c>
      <c r="Q39" s="26">
        <f>IF(AND($B39="Jalon",$F39&gt;=Q$5,$F39&lt;Q$5+7),"◆","")</f>
        <v/>
      </c>
      <c r="R39" s="26">
        <f>IF(AND($B39="Jalon",$F39&gt;=R$5,$F39&lt;R$5+7),"◆","")</f>
        <v/>
      </c>
      <c r="S39" s="26">
        <f>IF(AND($B39="Jalon",$F39&gt;=S$5,$F39&lt;S$5+7),"◆","")</f>
        <v/>
      </c>
      <c r="T39" s="26">
        <f>IF(AND($B39="Jalon",$F39&gt;=T$5,$F39&lt;T$5+7),"◆","")</f>
        <v/>
      </c>
      <c r="U39" s="26">
        <f>IF(AND($B39="Jalon",$F39&gt;=U$5,$F39&lt;U$5+7),"◆","")</f>
        <v/>
      </c>
      <c r="V39" s="26">
        <f>IF(AND($B39="Jalon",$F39&gt;=V$5,$F39&lt;V$5+7),"◆","")</f>
        <v/>
      </c>
      <c r="W39" s="26">
        <f>IF(AND($B39="Jalon",$F39&gt;=W$5,$F39&lt;W$5+7),"◆","")</f>
        <v/>
      </c>
      <c r="X39" s="26">
        <f>IF(AND($B39="Jalon",$F39&gt;=X$5,$F39&lt;X$5+7),"◆","")</f>
        <v/>
      </c>
      <c r="Y39" s="26">
        <f>IF(AND($B39="Jalon",$F39&gt;=Y$5,$F39&lt;Y$5+7),"◆","")</f>
        <v/>
      </c>
      <c r="Z39" s="26">
        <f>IF(AND($B39="Jalon",$F39&gt;=Z$5,$F39&lt;Z$5+7),"◆","")</f>
        <v/>
      </c>
      <c r="AA39" s="26">
        <f>IF(AND($B39="Jalon",$F39&gt;=AA$5,$F39&lt;AA$5+7),"◆","")</f>
        <v/>
      </c>
      <c r="AB39" s="26">
        <f>IF(AND($B39="Jalon",$F39&gt;=AB$5,$F39&lt;AB$5+7),"◆","")</f>
        <v/>
      </c>
      <c r="AC39" s="26">
        <f>IF(AND($B39="Jalon",$F39&gt;=AC$5,$F39&lt;AC$5+7),"◆","")</f>
        <v/>
      </c>
      <c r="AD39" s="26">
        <f>IF(AND($B39="Jalon",$F39&gt;=AD$5,$F39&lt;AD$5+7),"◆","")</f>
        <v/>
      </c>
      <c r="AE39" s="26">
        <f>IF(AND($B39="Jalon",$F39&gt;=AE$5,$F39&lt;AE$5+7),"◆","")</f>
        <v/>
      </c>
      <c r="AF39" s="26">
        <f>IF(AND($B39="Jalon",$F39&gt;=AF$5,$F39&lt;AF$5+7),"◆","")</f>
        <v/>
      </c>
      <c r="AG39" s="26">
        <f>IF(AND($B39="Jalon",$F39&gt;=AG$5,$F39&lt;AG$5+7),"◆","")</f>
        <v/>
      </c>
      <c r="AH39" s="26">
        <f>IF(AND($B39="Jalon",$F39&gt;=AH$5,$F39&lt;AH$5+7),"◆","")</f>
        <v/>
      </c>
      <c r="AI39" s="26">
        <f>IF(AND($B39="Jalon",$F39&gt;=AI$5,$F39&lt;AI$5+7),"◆","")</f>
        <v/>
      </c>
    </row>
    <row r="40">
      <c r="B40" s="20" t="n"/>
      <c r="C40" s="20" t="n"/>
      <c r="D40" s="20" t="n"/>
      <c r="E40" s="22" t="n"/>
      <c r="F40" s="22" t="n"/>
      <c r="G40" s="23">
        <f>IF(OR(E40="",F40=""),"",NETWORKDAYS(E40,F40))</f>
        <v/>
      </c>
      <c r="H40" s="24" t="n"/>
      <c r="I40" s="25">
        <f>IF(C40="","",IF(B40="Phase","",IF(H40&gt;=1,"Terminé",IF(AND(F40&lt;&gt;"",TODAY()&gt;F40),"En retard",IF(AND(E40&lt;&gt;"",TODAY()&gt;=E40),"En cours","À venir")))))</f>
        <v/>
      </c>
      <c r="J40" s="26">
        <f>IF(AND($B40="Jalon",$F40&gt;=J$5,$F40&lt;J$5+7),"◆","")</f>
        <v/>
      </c>
      <c r="K40" s="26">
        <f>IF(AND($B40="Jalon",$F40&gt;=K$5,$F40&lt;K$5+7),"◆","")</f>
        <v/>
      </c>
      <c r="L40" s="26">
        <f>IF(AND($B40="Jalon",$F40&gt;=L$5,$F40&lt;L$5+7),"◆","")</f>
        <v/>
      </c>
      <c r="M40" s="26">
        <f>IF(AND($B40="Jalon",$F40&gt;=M$5,$F40&lt;M$5+7),"◆","")</f>
        <v/>
      </c>
      <c r="N40" s="26">
        <f>IF(AND($B40="Jalon",$F40&gt;=N$5,$F40&lt;N$5+7),"◆","")</f>
        <v/>
      </c>
      <c r="O40" s="26">
        <f>IF(AND($B40="Jalon",$F40&gt;=O$5,$F40&lt;O$5+7),"◆","")</f>
        <v/>
      </c>
      <c r="P40" s="26">
        <f>IF(AND($B40="Jalon",$F40&gt;=P$5,$F40&lt;P$5+7),"◆","")</f>
        <v/>
      </c>
      <c r="Q40" s="26">
        <f>IF(AND($B40="Jalon",$F40&gt;=Q$5,$F40&lt;Q$5+7),"◆","")</f>
        <v/>
      </c>
      <c r="R40" s="26">
        <f>IF(AND($B40="Jalon",$F40&gt;=R$5,$F40&lt;R$5+7),"◆","")</f>
        <v/>
      </c>
      <c r="S40" s="26">
        <f>IF(AND($B40="Jalon",$F40&gt;=S$5,$F40&lt;S$5+7),"◆","")</f>
        <v/>
      </c>
      <c r="T40" s="26">
        <f>IF(AND($B40="Jalon",$F40&gt;=T$5,$F40&lt;T$5+7),"◆","")</f>
        <v/>
      </c>
      <c r="U40" s="26">
        <f>IF(AND($B40="Jalon",$F40&gt;=U$5,$F40&lt;U$5+7),"◆","")</f>
        <v/>
      </c>
      <c r="V40" s="26">
        <f>IF(AND($B40="Jalon",$F40&gt;=V$5,$F40&lt;V$5+7),"◆","")</f>
        <v/>
      </c>
      <c r="W40" s="26">
        <f>IF(AND($B40="Jalon",$F40&gt;=W$5,$F40&lt;W$5+7),"◆","")</f>
        <v/>
      </c>
      <c r="X40" s="26">
        <f>IF(AND($B40="Jalon",$F40&gt;=X$5,$F40&lt;X$5+7),"◆","")</f>
        <v/>
      </c>
      <c r="Y40" s="26">
        <f>IF(AND($B40="Jalon",$F40&gt;=Y$5,$F40&lt;Y$5+7),"◆","")</f>
        <v/>
      </c>
      <c r="Z40" s="26">
        <f>IF(AND($B40="Jalon",$F40&gt;=Z$5,$F40&lt;Z$5+7),"◆","")</f>
        <v/>
      </c>
      <c r="AA40" s="26">
        <f>IF(AND($B40="Jalon",$F40&gt;=AA$5,$F40&lt;AA$5+7),"◆","")</f>
        <v/>
      </c>
      <c r="AB40" s="26">
        <f>IF(AND($B40="Jalon",$F40&gt;=AB$5,$F40&lt;AB$5+7),"◆","")</f>
        <v/>
      </c>
      <c r="AC40" s="26">
        <f>IF(AND($B40="Jalon",$F40&gt;=AC$5,$F40&lt;AC$5+7),"◆","")</f>
        <v/>
      </c>
      <c r="AD40" s="26">
        <f>IF(AND($B40="Jalon",$F40&gt;=AD$5,$F40&lt;AD$5+7),"◆","")</f>
        <v/>
      </c>
      <c r="AE40" s="26">
        <f>IF(AND($B40="Jalon",$F40&gt;=AE$5,$F40&lt;AE$5+7),"◆","")</f>
        <v/>
      </c>
      <c r="AF40" s="26">
        <f>IF(AND($B40="Jalon",$F40&gt;=AF$5,$F40&lt;AF$5+7),"◆","")</f>
        <v/>
      </c>
      <c r="AG40" s="26">
        <f>IF(AND($B40="Jalon",$F40&gt;=AG$5,$F40&lt;AG$5+7),"◆","")</f>
        <v/>
      </c>
      <c r="AH40" s="26">
        <f>IF(AND($B40="Jalon",$F40&gt;=AH$5,$F40&lt;AH$5+7),"◆","")</f>
        <v/>
      </c>
      <c r="AI40" s="26">
        <f>IF(AND($B40="Jalon",$F40&gt;=AI$5,$F40&lt;AI$5+7),"◆","")</f>
        <v/>
      </c>
    </row>
    <row r="41">
      <c r="B41" s="20" t="n"/>
      <c r="C41" s="20" t="n"/>
      <c r="D41" s="20" t="n"/>
      <c r="E41" s="22" t="n"/>
      <c r="F41" s="22" t="n"/>
      <c r="G41" s="23">
        <f>IF(OR(E41="",F41=""),"",NETWORKDAYS(E41,F41))</f>
        <v/>
      </c>
      <c r="H41" s="24" t="n"/>
      <c r="I41" s="25">
        <f>IF(C41="","",IF(B41="Phase","",IF(H41&gt;=1,"Terminé",IF(AND(F41&lt;&gt;"",TODAY()&gt;F41),"En retard",IF(AND(E41&lt;&gt;"",TODAY()&gt;=E41),"En cours","À venir")))))</f>
        <v/>
      </c>
      <c r="J41" s="26">
        <f>IF(AND($B41="Jalon",$F41&gt;=J$5,$F41&lt;J$5+7),"◆","")</f>
        <v/>
      </c>
      <c r="K41" s="26">
        <f>IF(AND($B41="Jalon",$F41&gt;=K$5,$F41&lt;K$5+7),"◆","")</f>
        <v/>
      </c>
      <c r="L41" s="26">
        <f>IF(AND($B41="Jalon",$F41&gt;=L$5,$F41&lt;L$5+7),"◆","")</f>
        <v/>
      </c>
      <c r="M41" s="26">
        <f>IF(AND($B41="Jalon",$F41&gt;=M$5,$F41&lt;M$5+7),"◆","")</f>
        <v/>
      </c>
      <c r="N41" s="26">
        <f>IF(AND($B41="Jalon",$F41&gt;=N$5,$F41&lt;N$5+7),"◆","")</f>
        <v/>
      </c>
      <c r="O41" s="26">
        <f>IF(AND($B41="Jalon",$F41&gt;=O$5,$F41&lt;O$5+7),"◆","")</f>
        <v/>
      </c>
      <c r="P41" s="26">
        <f>IF(AND($B41="Jalon",$F41&gt;=P$5,$F41&lt;P$5+7),"◆","")</f>
        <v/>
      </c>
      <c r="Q41" s="26">
        <f>IF(AND($B41="Jalon",$F41&gt;=Q$5,$F41&lt;Q$5+7),"◆","")</f>
        <v/>
      </c>
      <c r="R41" s="26">
        <f>IF(AND($B41="Jalon",$F41&gt;=R$5,$F41&lt;R$5+7),"◆","")</f>
        <v/>
      </c>
      <c r="S41" s="26">
        <f>IF(AND($B41="Jalon",$F41&gt;=S$5,$F41&lt;S$5+7),"◆","")</f>
        <v/>
      </c>
      <c r="T41" s="26">
        <f>IF(AND($B41="Jalon",$F41&gt;=T$5,$F41&lt;T$5+7),"◆","")</f>
        <v/>
      </c>
      <c r="U41" s="26">
        <f>IF(AND($B41="Jalon",$F41&gt;=U$5,$F41&lt;U$5+7),"◆","")</f>
        <v/>
      </c>
      <c r="V41" s="26">
        <f>IF(AND($B41="Jalon",$F41&gt;=V$5,$F41&lt;V$5+7),"◆","")</f>
        <v/>
      </c>
      <c r="W41" s="26">
        <f>IF(AND($B41="Jalon",$F41&gt;=W$5,$F41&lt;W$5+7),"◆","")</f>
        <v/>
      </c>
      <c r="X41" s="26">
        <f>IF(AND($B41="Jalon",$F41&gt;=X$5,$F41&lt;X$5+7),"◆","")</f>
        <v/>
      </c>
      <c r="Y41" s="26">
        <f>IF(AND($B41="Jalon",$F41&gt;=Y$5,$F41&lt;Y$5+7),"◆","")</f>
        <v/>
      </c>
      <c r="Z41" s="26">
        <f>IF(AND($B41="Jalon",$F41&gt;=Z$5,$F41&lt;Z$5+7),"◆","")</f>
        <v/>
      </c>
      <c r="AA41" s="26">
        <f>IF(AND($B41="Jalon",$F41&gt;=AA$5,$F41&lt;AA$5+7),"◆","")</f>
        <v/>
      </c>
      <c r="AB41" s="26">
        <f>IF(AND($B41="Jalon",$F41&gt;=AB$5,$F41&lt;AB$5+7),"◆","")</f>
        <v/>
      </c>
      <c r="AC41" s="26">
        <f>IF(AND($B41="Jalon",$F41&gt;=AC$5,$F41&lt;AC$5+7),"◆","")</f>
        <v/>
      </c>
      <c r="AD41" s="26">
        <f>IF(AND($B41="Jalon",$F41&gt;=AD$5,$F41&lt;AD$5+7),"◆","")</f>
        <v/>
      </c>
      <c r="AE41" s="26">
        <f>IF(AND($B41="Jalon",$F41&gt;=AE$5,$F41&lt;AE$5+7),"◆","")</f>
        <v/>
      </c>
      <c r="AF41" s="26">
        <f>IF(AND($B41="Jalon",$F41&gt;=AF$5,$F41&lt;AF$5+7),"◆","")</f>
        <v/>
      </c>
      <c r="AG41" s="26">
        <f>IF(AND($B41="Jalon",$F41&gt;=AG$5,$F41&lt;AG$5+7),"◆","")</f>
        <v/>
      </c>
      <c r="AH41" s="26">
        <f>IF(AND($B41="Jalon",$F41&gt;=AH$5,$F41&lt;AH$5+7),"◆","")</f>
        <v/>
      </c>
      <c r="AI41" s="26">
        <f>IF(AND($B41="Jalon",$F41&gt;=AI$5,$F41&lt;AI$5+7),"◆","")</f>
        <v/>
      </c>
    </row>
    <row r="42">
      <c r="B42" s="20" t="n"/>
      <c r="C42" s="20" t="n"/>
      <c r="D42" s="20" t="n"/>
      <c r="E42" s="22" t="n"/>
      <c r="F42" s="22" t="n"/>
      <c r="G42" s="23">
        <f>IF(OR(E42="",F42=""),"",NETWORKDAYS(E42,F42))</f>
        <v/>
      </c>
      <c r="H42" s="24" t="n"/>
      <c r="I42" s="25">
        <f>IF(C42="","",IF(B42="Phase","",IF(H42&gt;=1,"Terminé",IF(AND(F42&lt;&gt;"",TODAY()&gt;F42),"En retard",IF(AND(E42&lt;&gt;"",TODAY()&gt;=E42),"En cours","À venir")))))</f>
        <v/>
      </c>
      <c r="J42" s="26">
        <f>IF(AND($B42="Jalon",$F42&gt;=J$5,$F42&lt;J$5+7),"◆","")</f>
        <v/>
      </c>
      <c r="K42" s="26">
        <f>IF(AND($B42="Jalon",$F42&gt;=K$5,$F42&lt;K$5+7),"◆","")</f>
        <v/>
      </c>
      <c r="L42" s="26">
        <f>IF(AND($B42="Jalon",$F42&gt;=L$5,$F42&lt;L$5+7),"◆","")</f>
        <v/>
      </c>
      <c r="M42" s="26">
        <f>IF(AND($B42="Jalon",$F42&gt;=M$5,$F42&lt;M$5+7),"◆","")</f>
        <v/>
      </c>
      <c r="N42" s="26">
        <f>IF(AND($B42="Jalon",$F42&gt;=N$5,$F42&lt;N$5+7),"◆","")</f>
        <v/>
      </c>
      <c r="O42" s="26">
        <f>IF(AND($B42="Jalon",$F42&gt;=O$5,$F42&lt;O$5+7),"◆","")</f>
        <v/>
      </c>
      <c r="P42" s="26">
        <f>IF(AND($B42="Jalon",$F42&gt;=P$5,$F42&lt;P$5+7),"◆","")</f>
        <v/>
      </c>
      <c r="Q42" s="26">
        <f>IF(AND($B42="Jalon",$F42&gt;=Q$5,$F42&lt;Q$5+7),"◆","")</f>
        <v/>
      </c>
      <c r="R42" s="26">
        <f>IF(AND($B42="Jalon",$F42&gt;=R$5,$F42&lt;R$5+7),"◆","")</f>
        <v/>
      </c>
      <c r="S42" s="26">
        <f>IF(AND($B42="Jalon",$F42&gt;=S$5,$F42&lt;S$5+7),"◆","")</f>
        <v/>
      </c>
      <c r="T42" s="26">
        <f>IF(AND($B42="Jalon",$F42&gt;=T$5,$F42&lt;T$5+7),"◆","")</f>
        <v/>
      </c>
      <c r="U42" s="26">
        <f>IF(AND($B42="Jalon",$F42&gt;=U$5,$F42&lt;U$5+7),"◆","")</f>
        <v/>
      </c>
      <c r="V42" s="26">
        <f>IF(AND($B42="Jalon",$F42&gt;=V$5,$F42&lt;V$5+7),"◆","")</f>
        <v/>
      </c>
      <c r="W42" s="26">
        <f>IF(AND($B42="Jalon",$F42&gt;=W$5,$F42&lt;W$5+7),"◆","")</f>
        <v/>
      </c>
      <c r="X42" s="26">
        <f>IF(AND($B42="Jalon",$F42&gt;=X$5,$F42&lt;X$5+7),"◆","")</f>
        <v/>
      </c>
      <c r="Y42" s="26">
        <f>IF(AND($B42="Jalon",$F42&gt;=Y$5,$F42&lt;Y$5+7),"◆","")</f>
        <v/>
      </c>
      <c r="Z42" s="26">
        <f>IF(AND($B42="Jalon",$F42&gt;=Z$5,$F42&lt;Z$5+7),"◆","")</f>
        <v/>
      </c>
      <c r="AA42" s="26">
        <f>IF(AND($B42="Jalon",$F42&gt;=AA$5,$F42&lt;AA$5+7),"◆","")</f>
        <v/>
      </c>
      <c r="AB42" s="26">
        <f>IF(AND($B42="Jalon",$F42&gt;=AB$5,$F42&lt;AB$5+7),"◆","")</f>
        <v/>
      </c>
      <c r="AC42" s="26">
        <f>IF(AND($B42="Jalon",$F42&gt;=AC$5,$F42&lt;AC$5+7),"◆","")</f>
        <v/>
      </c>
      <c r="AD42" s="26">
        <f>IF(AND($B42="Jalon",$F42&gt;=AD$5,$F42&lt;AD$5+7),"◆","")</f>
        <v/>
      </c>
      <c r="AE42" s="26">
        <f>IF(AND($B42="Jalon",$F42&gt;=AE$5,$F42&lt;AE$5+7),"◆","")</f>
        <v/>
      </c>
      <c r="AF42" s="26">
        <f>IF(AND($B42="Jalon",$F42&gt;=AF$5,$F42&lt;AF$5+7),"◆","")</f>
        <v/>
      </c>
      <c r="AG42" s="26">
        <f>IF(AND($B42="Jalon",$F42&gt;=AG$5,$F42&lt;AG$5+7),"◆","")</f>
        <v/>
      </c>
      <c r="AH42" s="26">
        <f>IF(AND($B42="Jalon",$F42&gt;=AH$5,$F42&lt;AH$5+7),"◆","")</f>
        <v/>
      </c>
      <c r="AI42" s="26">
        <f>IF(AND($B42="Jalon",$F42&gt;=AI$5,$F42&lt;AI$5+7),"◆","")</f>
        <v/>
      </c>
    </row>
    <row r="43">
      <c r="B43" s="20" t="n"/>
      <c r="C43" s="20" t="n"/>
      <c r="D43" s="20" t="n"/>
      <c r="E43" s="22" t="n"/>
      <c r="F43" s="22" t="n"/>
      <c r="G43" s="23">
        <f>IF(OR(E43="",F43=""),"",NETWORKDAYS(E43,F43))</f>
        <v/>
      </c>
      <c r="H43" s="24" t="n"/>
      <c r="I43" s="25">
        <f>IF(C43="","",IF(B43="Phase","",IF(H43&gt;=1,"Terminé",IF(AND(F43&lt;&gt;"",TODAY()&gt;F43),"En retard",IF(AND(E43&lt;&gt;"",TODAY()&gt;=E43),"En cours","À venir")))))</f>
        <v/>
      </c>
      <c r="J43" s="26">
        <f>IF(AND($B43="Jalon",$F43&gt;=J$5,$F43&lt;J$5+7),"◆","")</f>
        <v/>
      </c>
      <c r="K43" s="26">
        <f>IF(AND($B43="Jalon",$F43&gt;=K$5,$F43&lt;K$5+7),"◆","")</f>
        <v/>
      </c>
      <c r="L43" s="26">
        <f>IF(AND($B43="Jalon",$F43&gt;=L$5,$F43&lt;L$5+7),"◆","")</f>
        <v/>
      </c>
      <c r="M43" s="26">
        <f>IF(AND($B43="Jalon",$F43&gt;=M$5,$F43&lt;M$5+7),"◆","")</f>
        <v/>
      </c>
      <c r="N43" s="26">
        <f>IF(AND($B43="Jalon",$F43&gt;=N$5,$F43&lt;N$5+7),"◆","")</f>
        <v/>
      </c>
      <c r="O43" s="26">
        <f>IF(AND($B43="Jalon",$F43&gt;=O$5,$F43&lt;O$5+7),"◆","")</f>
        <v/>
      </c>
      <c r="P43" s="26">
        <f>IF(AND($B43="Jalon",$F43&gt;=P$5,$F43&lt;P$5+7),"◆","")</f>
        <v/>
      </c>
      <c r="Q43" s="26">
        <f>IF(AND($B43="Jalon",$F43&gt;=Q$5,$F43&lt;Q$5+7),"◆","")</f>
        <v/>
      </c>
      <c r="R43" s="26">
        <f>IF(AND($B43="Jalon",$F43&gt;=R$5,$F43&lt;R$5+7),"◆","")</f>
        <v/>
      </c>
      <c r="S43" s="26">
        <f>IF(AND($B43="Jalon",$F43&gt;=S$5,$F43&lt;S$5+7),"◆","")</f>
        <v/>
      </c>
      <c r="T43" s="26">
        <f>IF(AND($B43="Jalon",$F43&gt;=T$5,$F43&lt;T$5+7),"◆","")</f>
        <v/>
      </c>
      <c r="U43" s="26">
        <f>IF(AND($B43="Jalon",$F43&gt;=U$5,$F43&lt;U$5+7),"◆","")</f>
        <v/>
      </c>
      <c r="V43" s="26">
        <f>IF(AND($B43="Jalon",$F43&gt;=V$5,$F43&lt;V$5+7),"◆","")</f>
        <v/>
      </c>
      <c r="W43" s="26">
        <f>IF(AND($B43="Jalon",$F43&gt;=W$5,$F43&lt;W$5+7),"◆","")</f>
        <v/>
      </c>
      <c r="X43" s="26">
        <f>IF(AND($B43="Jalon",$F43&gt;=X$5,$F43&lt;X$5+7),"◆","")</f>
        <v/>
      </c>
      <c r="Y43" s="26">
        <f>IF(AND($B43="Jalon",$F43&gt;=Y$5,$F43&lt;Y$5+7),"◆","")</f>
        <v/>
      </c>
      <c r="Z43" s="26">
        <f>IF(AND($B43="Jalon",$F43&gt;=Z$5,$F43&lt;Z$5+7),"◆","")</f>
        <v/>
      </c>
      <c r="AA43" s="26">
        <f>IF(AND($B43="Jalon",$F43&gt;=AA$5,$F43&lt;AA$5+7),"◆","")</f>
        <v/>
      </c>
      <c r="AB43" s="26">
        <f>IF(AND($B43="Jalon",$F43&gt;=AB$5,$F43&lt;AB$5+7),"◆","")</f>
        <v/>
      </c>
      <c r="AC43" s="26">
        <f>IF(AND($B43="Jalon",$F43&gt;=AC$5,$F43&lt;AC$5+7),"◆","")</f>
        <v/>
      </c>
      <c r="AD43" s="26">
        <f>IF(AND($B43="Jalon",$F43&gt;=AD$5,$F43&lt;AD$5+7),"◆","")</f>
        <v/>
      </c>
      <c r="AE43" s="26">
        <f>IF(AND($B43="Jalon",$F43&gt;=AE$5,$F43&lt;AE$5+7),"◆","")</f>
        <v/>
      </c>
      <c r="AF43" s="26">
        <f>IF(AND($B43="Jalon",$F43&gt;=AF$5,$F43&lt;AF$5+7),"◆","")</f>
        <v/>
      </c>
      <c r="AG43" s="26">
        <f>IF(AND($B43="Jalon",$F43&gt;=AG$5,$F43&lt;AG$5+7),"◆","")</f>
        <v/>
      </c>
      <c r="AH43" s="26">
        <f>IF(AND($B43="Jalon",$F43&gt;=AH$5,$F43&lt;AH$5+7),"◆","")</f>
        <v/>
      </c>
      <c r="AI43" s="26">
        <f>IF(AND($B43="Jalon",$F43&gt;=AI$5,$F43&lt;AI$5+7),"◆","")</f>
        <v/>
      </c>
    </row>
    <row r="44">
      <c r="B44" s="20" t="n"/>
      <c r="C44" s="20" t="n"/>
      <c r="D44" s="20" t="n"/>
      <c r="E44" s="22" t="n"/>
      <c r="F44" s="22" t="n"/>
      <c r="G44" s="23">
        <f>IF(OR(E44="",F44=""),"",NETWORKDAYS(E44,F44))</f>
        <v/>
      </c>
      <c r="H44" s="24" t="n"/>
      <c r="I44" s="25">
        <f>IF(C44="","",IF(B44="Phase","",IF(H44&gt;=1,"Terminé",IF(AND(F44&lt;&gt;"",TODAY()&gt;F44),"En retard",IF(AND(E44&lt;&gt;"",TODAY()&gt;=E44),"En cours","À venir")))))</f>
        <v/>
      </c>
      <c r="J44" s="26">
        <f>IF(AND($B44="Jalon",$F44&gt;=J$5,$F44&lt;J$5+7),"◆","")</f>
        <v/>
      </c>
      <c r="K44" s="26">
        <f>IF(AND($B44="Jalon",$F44&gt;=K$5,$F44&lt;K$5+7),"◆","")</f>
        <v/>
      </c>
      <c r="L44" s="26">
        <f>IF(AND($B44="Jalon",$F44&gt;=L$5,$F44&lt;L$5+7),"◆","")</f>
        <v/>
      </c>
      <c r="M44" s="26">
        <f>IF(AND($B44="Jalon",$F44&gt;=M$5,$F44&lt;M$5+7),"◆","")</f>
        <v/>
      </c>
      <c r="N44" s="26">
        <f>IF(AND($B44="Jalon",$F44&gt;=N$5,$F44&lt;N$5+7),"◆","")</f>
        <v/>
      </c>
      <c r="O44" s="26">
        <f>IF(AND($B44="Jalon",$F44&gt;=O$5,$F44&lt;O$5+7),"◆","")</f>
        <v/>
      </c>
      <c r="P44" s="26">
        <f>IF(AND($B44="Jalon",$F44&gt;=P$5,$F44&lt;P$5+7),"◆","")</f>
        <v/>
      </c>
      <c r="Q44" s="26">
        <f>IF(AND($B44="Jalon",$F44&gt;=Q$5,$F44&lt;Q$5+7),"◆","")</f>
        <v/>
      </c>
      <c r="R44" s="26">
        <f>IF(AND($B44="Jalon",$F44&gt;=R$5,$F44&lt;R$5+7),"◆","")</f>
        <v/>
      </c>
      <c r="S44" s="26">
        <f>IF(AND($B44="Jalon",$F44&gt;=S$5,$F44&lt;S$5+7),"◆","")</f>
        <v/>
      </c>
      <c r="T44" s="26">
        <f>IF(AND($B44="Jalon",$F44&gt;=T$5,$F44&lt;T$5+7),"◆","")</f>
        <v/>
      </c>
      <c r="U44" s="26">
        <f>IF(AND($B44="Jalon",$F44&gt;=U$5,$F44&lt;U$5+7),"◆","")</f>
        <v/>
      </c>
      <c r="V44" s="26">
        <f>IF(AND($B44="Jalon",$F44&gt;=V$5,$F44&lt;V$5+7),"◆","")</f>
        <v/>
      </c>
      <c r="W44" s="26">
        <f>IF(AND($B44="Jalon",$F44&gt;=W$5,$F44&lt;W$5+7),"◆","")</f>
        <v/>
      </c>
      <c r="X44" s="26">
        <f>IF(AND($B44="Jalon",$F44&gt;=X$5,$F44&lt;X$5+7),"◆","")</f>
        <v/>
      </c>
      <c r="Y44" s="26">
        <f>IF(AND($B44="Jalon",$F44&gt;=Y$5,$F44&lt;Y$5+7),"◆","")</f>
        <v/>
      </c>
      <c r="Z44" s="26">
        <f>IF(AND($B44="Jalon",$F44&gt;=Z$5,$F44&lt;Z$5+7),"◆","")</f>
        <v/>
      </c>
      <c r="AA44" s="26">
        <f>IF(AND($B44="Jalon",$F44&gt;=AA$5,$F44&lt;AA$5+7),"◆","")</f>
        <v/>
      </c>
      <c r="AB44" s="26">
        <f>IF(AND($B44="Jalon",$F44&gt;=AB$5,$F44&lt;AB$5+7),"◆","")</f>
        <v/>
      </c>
      <c r="AC44" s="26">
        <f>IF(AND($B44="Jalon",$F44&gt;=AC$5,$F44&lt;AC$5+7),"◆","")</f>
        <v/>
      </c>
      <c r="AD44" s="26">
        <f>IF(AND($B44="Jalon",$F44&gt;=AD$5,$F44&lt;AD$5+7),"◆","")</f>
        <v/>
      </c>
      <c r="AE44" s="26">
        <f>IF(AND($B44="Jalon",$F44&gt;=AE$5,$F44&lt;AE$5+7),"◆","")</f>
        <v/>
      </c>
      <c r="AF44" s="26">
        <f>IF(AND($B44="Jalon",$F44&gt;=AF$5,$F44&lt;AF$5+7),"◆","")</f>
        <v/>
      </c>
      <c r="AG44" s="26">
        <f>IF(AND($B44="Jalon",$F44&gt;=AG$5,$F44&lt;AG$5+7),"◆","")</f>
        <v/>
      </c>
      <c r="AH44" s="26">
        <f>IF(AND($B44="Jalon",$F44&gt;=AH$5,$F44&lt;AH$5+7),"◆","")</f>
        <v/>
      </c>
      <c r="AI44" s="26">
        <f>IF(AND($B44="Jalon",$F44&gt;=AI$5,$F44&lt;AI$5+7),"◆","")</f>
        <v/>
      </c>
    </row>
    <row r="45">
      <c r="B45" s="20" t="n"/>
      <c r="C45" s="20" t="n"/>
      <c r="D45" s="20" t="n"/>
      <c r="E45" s="22" t="n"/>
      <c r="F45" s="22" t="n"/>
      <c r="G45" s="23">
        <f>IF(OR(E45="",F45=""),"",NETWORKDAYS(E45,F45))</f>
        <v/>
      </c>
      <c r="H45" s="24" t="n"/>
      <c r="I45" s="25">
        <f>IF(C45="","",IF(B45="Phase","",IF(H45&gt;=1,"Terminé",IF(AND(F45&lt;&gt;"",TODAY()&gt;F45),"En retard",IF(AND(E45&lt;&gt;"",TODAY()&gt;=E45),"En cours","À venir")))))</f>
        <v/>
      </c>
      <c r="J45" s="26">
        <f>IF(AND($B45="Jalon",$F45&gt;=J$5,$F45&lt;J$5+7),"◆","")</f>
        <v/>
      </c>
      <c r="K45" s="26">
        <f>IF(AND($B45="Jalon",$F45&gt;=K$5,$F45&lt;K$5+7),"◆","")</f>
        <v/>
      </c>
      <c r="L45" s="26">
        <f>IF(AND($B45="Jalon",$F45&gt;=L$5,$F45&lt;L$5+7),"◆","")</f>
        <v/>
      </c>
      <c r="M45" s="26">
        <f>IF(AND($B45="Jalon",$F45&gt;=M$5,$F45&lt;M$5+7),"◆","")</f>
        <v/>
      </c>
      <c r="N45" s="26">
        <f>IF(AND($B45="Jalon",$F45&gt;=N$5,$F45&lt;N$5+7),"◆","")</f>
        <v/>
      </c>
      <c r="O45" s="26">
        <f>IF(AND($B45="Jalon",$F45&gt;=O$5,$F45&lt;O$5+7),"◆","")</f>
        <v/>
      </c>
      <c r="P45" s="26">
        <f>IF(AND($B45="Jalon",$F45&gt;=P$5,$F45&lt;P$5+7),"◆","")</f>
        <v/>
      </c>
      <c r="Q45" s="26">
        <f>IF(AND($B45="Jalon",$F45&gt;=Q$5,$F45&lt;Q$5+7),"◆","")</f>
        <v/>
      </c>
      <c r="R45" s="26">
        <f>IF(AND($B45="Jalon",$F45&gt;=R$5,$F45&lt;R$5+7),"◆","")</f>
        <v/>
      </c>
      <c r="S45" s="26">
        <f>IF(AND($B45="Jalon",$F45&gt;=S$5,$F45&lt;S$5+7),"◆","")</f>
        <v/>
      </c>
      <c r="T45" s="26">
        <f>IF(AND($B45="Jalon",$F45&gt;=T$5,$F45&lt;T$5+7),"◆","")</f>
        <v/>
      </c>
      <c r="U45" s="26">
        <f>IF(AND($B45="Jalon",$F45&gt;=U$5,$F45&lt;U$5+7),"◆","")</f>
        <v/>
      </c>
      <c r="V45" s="26">
        <f>IF(AND($B45="Jalon",$F45&gt;=V$5,$F45&lt;V$5+7),"◆","")</f>
        <v/>
      </c>
      <c r="W45" s="26">
        <f>IF(AND($B45="Jalon",$F45&gt;=W$5,$F45&lt;W$5+7),"◆","")</f>
        <v/>
      </c>
      <c r="X45" s="26">
        <f>IF(AND($B45="Jalon",$F45&gt;=X$5,$F45&lt;X$5+7),"◆","")</f>
        <v/>
      </c>
      <c r="Y45" s="26">
        <f>IF(AND($B45="Jalon",$F45&gt;=Y$5,$F45&lt;Y$5+7),"◆","")</f>
        <v/>
      </c>
      <c r="Z45" s="26">
        <f>IF(AND($B45="Jalon",$F45&gt;=Z$5,$F45&lt;Z$5+7),"◆","")</f>
        <v/>
      </c>
      <c r="AA45" s="26">
        <f>IF(AND($B45="Jalon",$F45&gt;=AA$5,$F45&lt;AA$5+7),"◆","")</f>
        <v/>
      </c>
      <c r="AB45" s="26">
        <f>IF(AND($B45="Jalon",$F45&gt;=AB$5,$F45&lt;AB$5+7),"◆","")</f>
        <v/>
      </c>
      <c r="AC45" s="26">
        <f>IF(AND($B45="Jalon",$F45&gt;=AC$5,$F45&lt;AC$5+7),"◆","")</f>
        <v/>
      </c>
      <c r="AD45" s="26">
        <f>IF(AND($B45="Jalon",$F45&gt;=AD$5,$F45&lt;AD$5+7),"◆","")</f>
        <v/>
      </c>
      <c r="AE45" s="26">
        <f>IF(AND($B45="Jalon",$F45&gt;=AE$5,$F45&lt;AE$5+7),"◆","")</f>
        <v/>
      </c>
      <c r="AF45" s="26">
        <f>IF(AND($B45="Jalon",$F45&gt;=AF$5,$F45&lt;AF$5+7),"◆","")</f>
        <v/>
      </c>
      <c r="AG45" s="26">
        <f>IF(AND($B45="Jalon",$F45&gt;=AG$5,$F45&lt;AG$5+7),"◆","")</f>
        <v/>
      </c>
      <c r="AH45" s="26">
        <f>IF(AND($B45="Jalon",$F45&gt;=AH$5,$F45&lt;AH$5+7),"◆","")</f>
        <v/>
      </c>
      <c r="AI45" s="26">
        <f>IF(AND($B45="Jalon",$F45&gt;=AI$5,$F45&lt;AI$5+7),"◆","")</f>
        <v/>
      </c>
    </row>
    <row r="46">
      <c r="B46" s="20" t="n"/>
      <c r="C46" s="20" t="n"/>
      <c r="D46" s="20" t="n"/>
      <c r="E46" s="22" t="n"/>
      <c r="F46" s="22" t="n"/>
      <c r="G46" s="23">
        <f>IF(OR(E46="",F46=""),"",NETWORKDAYS(E46,F46))</f>
        <v/>
      </c>
      <c r="H46" s="24" t="n"/>
      <c r="I46" s="25">
        <f>IF(C46="","",IF(B46="Phase","",IF(H46&gt;=1,"Terminé",IF(AND(F46&lt;&gt;"",TODAY()&gt;F46),"En retard",IF(AND(E46&lt;&gt;"",TODAY()&gt;=E46),"En cours","À venir")))))</f>
        <v/>
      </c>
      <c r="J46" s="26">
        <f>IF(AND($B46="Jalon",$F46&gt;=J$5,$F46&lt;J$5+7),"◆","")</f>
        <v/>
      </c>
      <c r="K46" s="26">
        <f>IF(AND($B46="Jalon",$F46&gt;=K$5,$F46&lt;K$5+7),"◆","")</f>
        <v/>
      </c>
      <c r="L46" s="26">
        <f>IF(AND($B46="Jalon",$F46&gt;=L$5,$F46&lt;L$5+7),"◆","")</f>
        <v/>
      </c>
      <c r="M46" s="26">
        <f>IF(AND($B46="Jalon",$F46&gt;=M$5,$F46&lt;M$5+7),"◆","")</f>
        <v/>
      </c>
      <c r="N46" s="26">
        <f>IF(AND($B46="Jalon",$F46&gt;=N$5,$F46&lt;N$5+7),"◆","")</f>
        <v/>
      </c>
      <c r="O46" s="26">
        <f>IF(AND($B46="Jalon",$F46&gt;=O$5,$F46&lt;O$5+7),"◆","")</f>
        <v/>
      </c>
      <c r="P46" s="26">
        <f>IF(AND($B46="Jalon",$F46&gt;=P$5,$F46&lt;P$5+7),"◆","")</f>
        <v/>
      </c>
      <c r="Q46" s="26">
        <f>IF(AND($B46="Jalon",$F46&gt;=Q$5,$F46&lt;Q$5+7),"◆","")</f>
        <v/>
      </c>
      <c r="R46" s="26">
        <f>IF(AND($B46="Jalon",$F46&gt;=R$5,$F46&lt;R$5+7),"◆","")</f>
        <v/>
      </c>
      <c r="S46" s="26">
        <f>IF(AND($B46="Jalon",$F46&gt;=S$5,$F46&lt;S$5+7),"◆","")</f>
        <v/>
      </c>
      <c r="T46" s="26">
        <f>IF(AND($B46="Jalon",$F46&gt;=T$5,$F46&lt;T$5+7),"◆","")</f>
        <v/>
      </c>
      <c r="U46" s="26">
        <f>IF(AND($B46="Jalon",$F46&gt;=U$5,$F46&lt;U$5+7),"◆","")</f>
        <v/>
      </c>
      <c r="V46" s="26">
        <f>IF(AND($B46="Jalon",$F46&gt;=V$5,$F46&lt;V$5+7),"◆","")</f>
        <v/>
      </c>
      <c r="W46" s="26">
        <f>IF(AND($B46="Jalon",$F46&gt;=W$5,$F46&lt;W$5+7),"◆","")</f>
        <v/>
      </c>
      <c r="X46" s="26">
        <f>IF(AND($B46="Jalon",$F46&gt;=X$5,$F46&lt;X$5+7),"◆","")</f>
        <v/>
      </c>
      <c r="Y46" s="26">
        <f>IF(AND($B46="Jalon",$F46&gt;=Y$5,$F46&lt;Y$5+7),"◆","")</f>
        <v/>
      </c>
      <c r="Z46" s="26">
        <f>IF(AND($B46="Jalon",$F46&gt;=Z$5,$F46&lt;Z$5+7),"◆","")</f>
        <v/>
      </c>
      <c r="AA46" s="26">
        <f>IF(AND($B46="Jalon",$F46&gt;=AA$5,$F46&lt;AA$5+7),"◆","")</f>
        <v/>
      </c>
      <c r="AB46" s="26">
        <f>IF(AND($B46="Jalon",$F46&gt;=AB$5,$F46&lt;AB$5+7),"◆","")</f>
        <v/>
      </c>
      <c r="AC46" s="26">
        <f>IF(AND($B46="Jalon",$F46&gt;=AC$5,$F46&lt;AC$5+7),"◆","")</f>
        <v/>
      </c>
      <c r="AD46" s="26">
        <f>IF(AND($B46="Jalon",$F46&gt;=AD$5,$F46&lt;AD$5+7),"◆","")</f>
        <v/>
      </c>
      <c r="AE46" s="26">
        <f>IF(AND($B46="Jalon",$F46&gt;=AE$5,$F46&lt;AE$5+7),"◆","")</f>
        <v/>
      </c>
      <c r="AF46" s="26">
        <f>IF(AND($B46="Jalon",$F46&gt;=AF$5,$F46&lt;AF$5+7),"◆","")</f>
        <v/>
      </c>
      <c r="AG46" s="26">
        <f>IF(AND($B46="Jalon",$F46&gt;=AG$5,$F46&lt;AG$5+7),"◆","")</f>
        <v/>
      </c>
      <c r="AH46" s="26">
        <f>IF(AND($B46="Jalon",$F46&gt;=AH$5,$F46&lt;AH$5+7),"◆","")</f>
        <v/>
      </c>
      <c r="AI46" s="26">
        <f>IF(AND($B46="Jalon",$F46&gt;=AI$5,$F46&lt;AI$5+7),"◆","")</f>
        <v/>
      </c>
    </row>
    <row r="47">
      <c r="B47" s="20" t="n"/>
      <c r="C47" s="20" t="n"/>
      <c r="D47" s="20" t="n"/>
      <c r="E47" s="22" t="n"/>
      <c r="F47" s="22" t="n"/>
      <c r="G47" s="23">
        <f>IF(OR(E47="",F47=""),"",NETWORKDAYS(E47,F47))</f>
        <v/>
      </c>
      <c r="H47" s="24" t="n"/>
      <c r="I47" s="25">
        <f>IF(C47="","",IF(B47="Phase","",IF(H47&gt;=1,"Terminé",IF(AND(F47&lt;&gt;"",TODAY()&gt;F47),"En retard",IF(AND(E47&lt;&gt;"",TODAY()&gt;=E47),"En cours","À venir")))))</f>
        <v/>
      </c>
      <c r="J47" s="26">
        <f>IF(AND($B47="Jalon",$F47&gt;=J$5,$F47&lt;J$5+7),"◆","")</f>
        <v/>
      </c>
      <c r="K47" s="26">
        <f>IF(AND($B47="Jalon",$F47&gt;=K$5,$F47&lt;K$5+7),"◆","")</f>
        <v/>
      </c>
      <c r="L47" s="26">
        <f>IF(AND($B47="Jalon",$F47&gt;=L$5,$F47&lt;L$5+7),"◆","")</f>
        <v/>
      </c>
      <c r="M47" s="26">
        <f>IF(AND($B47="Jalon",$F47&gt;=M$5,$F47&lt;M$5+7),"◆","")</f>
        <v/>
      </c>
      <c r="N47" s="26">
        <f>IF(AND($B47="Jalon",$F47&gt;=N$5,$F47&lt;N$5+7),"◆","")</f>
        <v/>
      </c>
      <c r="O47" s="26">
        <f>IF(AND($B47="Jalon",$F47&gt;=O$5,$F47&lt;O$5+7),"◆","")</f>
        <v/>
      </c>
      <c r="P47" s="26">
        <f>IF(AND($B47="Jalon",$F47&gt;=P$5,$F47&lt;P$5+7),"◆","")</f>
        <v/>
      </c>
      <c r="Q47" s="26">
        <f>IF(AND($B47="Jalon",$F47&gt;=Q$5,$F47&lt;Q$5+7),"◆","")</f>
        <v/>
      </c>
      <c r="R47" s="26">
        <f>IF(AND($B47="Jalon",$F47&gt;=R$5,$F47&lt;R$5+7),"◆","")</f>
        <v/>
      </c>
      <c r="S47" s="26">
        <f>IF(AND($B47="Jalon",$F47&gt;=S$5,$F47&lt;S$5+7),"◆","")</f>
        <v/>
      </c>
      <c r="T47" s="26">
        <f>IF(AND($B47="Jalon",$F47&gt;=T$5,$F47&lt;T$5+7),"◆","")</f>
        <v/>
      </c>
      <c r="U47" s="26">
        <f>IF(AND($B47="Jalon",$F47&gt;=U$5,$F47&lt;U$5+7),"◆","")</f>
        <v/>
      </c>
      <c r="V47" s="26">
        <f>IF(AND($B47="Jalon",$F47&gt;=V$5,$F47&lt;V$5+7),"◆","")</f>
        <v/>
      </c>
      <c r="W47" s="26">
        <f>IF(AND($B47="Jalon",$F47&gt;=W$5,$F47&lt;W$5+7),"◆","")</f>
        <v/>
      </c>
      <c r="X47" s="26">
        <f>IF(AND($B47="Jalon",$F47&gt;=X$5,$F47&lt;X$5+7),"◆","")</f>
        <v/>
      </c>
      <c r="Y47" s="26">
        <f>IF(AND($B47="Jalon",$F47&gt;=Y$5,$F47&lt;Y$5+7),"◆","")</f>
        <v/>
      </c>
      <c r="Z47" s="26">
        <f>IF(AND($B47="Jalon",$F47&gt;=Z$5,$F47&lt;Z$5+7),"◆","")</f>
        <v/>
      </c>
      <c r="AA47" s="26">
        <f>IF(AND($B47="Jalon",$F47&gt;=AA$5,$F47&lt;AA$5+7),"◆","")</f>
        <v/>
      </c>
      <c r="AB47" s="26">
        <f>IF(AND($B47="Jalon",$F47&gt;=AB$5,$F47&lt;AB$5+7),"◆","")</f>
        <v/>
      </c>
      <c r="AC47" s="26">
        <f>IF(AND($B47="Jalon",$F47&gt;=AC$5,$F47&lt;AC$5+7),"◆","")</f>
        <v/>
      </c>
      <c r="AD47" s="26">
        <f>IF(AND($B47="Jalon",$F47&gt;=AD$5,$F47&lt;AD$5+7),"◆","")</f>
        <v/>
      </c>
      <c r="AE47" s="26">
        <f>IF(AND($B47="Jalon",$F47&gt;=AE$5,$F47&lt;AE$5+7),"◆","")</f>
        <v/>
      </c>
      <c r="AF47" s="26">
        <f>IF(AND($B47="Jalon",$F47&gt;=AF$5,$F47&lt;AF$5+7),"◆","")</f>
        <v/>
      </c>
      <c r="AG47" s="26">
        <f>IF(AND($B47="Jalon",$F47&gt;=AG$5,$F47&lt;AG$5+7),"◆","")</f>
        <v/>
      </c>
      <c r="AH47" s="26">
        <f>IF(AND($B47="Jalon",$F47&gt;=AH$5,$F47&lt;AH$5+7),"◆","")</f>
        <v/>
      </c>
      <c r="AI47" s="26">
        <f>IF(AND($B47="Jalon",$F47&gt;=AI$5,$F47&lt;AI$5+7),"◆","")</f>
        <v/>
      </c>
    </row>
    <row r="48">
      <c r="B48" s="20" t="n"/>
      <c r="C48" s="20" t="n"/>
      <c r="D48" s="20" t="n"/>
      <c r="E48" s="22" t="n"/>
      <c r="F48" s="22" t="n"/>
      <c r="G48" s="23">
        <f>IF(OR(E48="",F48=""),"",NETWORKDAYS(E48,F48))</f>
        <v/>
      </c>
      <c r="H48" s="24" t="n"/>
      <c r="I48" s="25">
        <f>IF(C48="","",IF(B48="Phase","",IF(H48&gt;=1,"Terminé",IF(AND(F48&lt;&gt;"",TODAY()&gt;F48),"En retard",IF(AND(E48&lt;&gt;"",TODAY()&gt;=E48),"En cours","À venir")))))</f>
        <v/>
      </c>
      <c r="J48" s="26">
        <f>IF(AND($B48="Jalon",$F48&gt;=J$5,$F48&lt;J$5+7),"◆","")</f>
        <v/>
      </c>
      <c r="K48" s="26">
        <f>IF(AND($B48="Jalon",$F48&gt;=K$5,$F48&lt;K$5+7),"◆","")</f>
        <v/>
      </c>
      <c r="L48" s="26">
        <f>IF(AND($B48="Jalon",$F48&gt;=L$5,$F48&lt;L$5+7),"◆","")</f>
        <v/>
      </c>
      <c r="M48" s="26">
        <f>IF(AND($B48="Jalon",$F48&gt;=M$5,$F48&lt;M$5+7),"◆","")</f>
        <v/>
      </c>
      <c r="N48" s="26">
        <f>IF(AND($B48="Jalon",$F48&gt;=N$5,$F48&lt;N$5+7),"◆","")</f>
        <v/>
      </c>
      <c r="O48" s="26">
        <f>IF(AND($B48="Jalon",$F48&gt;=O$5,$F48&lt;O$5+7),"◆","")</f>
        <v/>
      </c>
      <c r="P48" s="26">
        <f>IF(AND($B48="Jalon",$F48&gt;=P$5,$F48&lt;P$5+7),"◆","")</f>
        <v/>
      </c>
      <c r="Q48" s="26">
        <f>IF(AND($B48="Jalon",$F48&gt;=Q$5,$F48&lt;Q$5+7),"◆","")</f>
        <v/>
      </c>
      <c r="R48" s="26">
        <f>IF(AND($B48="Jalon",$F48&gt;=R$5,$F48&lt;R$5+7),"◆","")</f>
        <v/>
      </c>
      <c r="S48" s="26">
        <f>IF(AND($B48="Jalon",$F48&gt;=S$5,$F48&lt;S$5+7),"◆","")</f>
        <v/>
      </c>
      <c r="T48" s="26">
        <f>IF(AND($B48="Jalon",$F48&gt;=T$5,$F48&lt;T$5+7),"◆","")</f>
        <v/>
      </c>
      <c r="U48" s="26">
        <f>IF(AND($B48="Jalon",$F48&gt;=U$5,$F48&lt;U$5+7),"◆","")</f>
        <v/>
      </c>
      <c r="V48" s="26">
        <f>IF(AND($B48="Jalon",$F48&gt;=V$5,$F48&lt;V$5+7),"◆","")</f>
        <v/>
      </c>
      <c r="W48" s="26">
        <f>IF(AND($B48="Jalon",$F48&gt;=W$5,$F48&lt;W$5+7),"◆","")</f>
        <v/>
      </c>
      <c r="X48" s="26">
        <f>IF(AND($B48="Jalon",$F48&gt;=X$5,$F48&lt;X$5+7),"◆","")</f>
        <v/>
      </c>
      <c r="Y48" s="26">
        <f>IF(AND($B48="Jalon",$F48&gt;=Y$5,$F48&lt;Y$5+7),"◆","")</f>
        <v/>
      </c>
      <c r="Z48" s="26">
        <f>IF(AND($B48="Jalon",$F48&gt;=Z$5,$F48&lt;Z$5+7),"◆","")</f>
        <v/>
      </c>
      <c r="AA48" s="26">
        <f>IF(AND($B48="Jalon",$F48&gt;=AA$5,$F48&lt;AA$5+7),"◆","")</f>
        <v/>
      </c>
      <c r="AB48" s="26">
        <f>IF(AND($B48="Jalon",$F48&gt;=AB$5,$F48&lt;AB$5+7),"◆","")</f>
        <v/>
      </c>
      <c r="AC48" s="26">
        <f>IF(AND($B48="Jalon",$F48&gt;=AC$5,$F48&lt;AC$5+7),"◆","")</f>
        <v/>
      </c>
      <c r="AD48" s="26">
        <f>IF(AND($B48="Jalon",$F48&gt;=AD$5,$F48&lt;AD$5+7),"◆","")</f>
        <v/>
      </c>
      <c r="AE48" s="26">
        <f>IF(AND($B48="Jalon",$F48&gt;=AE$5,$F48&lt;AE$5+7),"◆","")</f>
        <v/>
      </c>
      <c r="AF48" s="26">
        <f>IF(AND($B48="Jalon",$F48&gt;=AF$5,$F48&lt;AF$5+7),"◆","")</f>
        <v/>
      </c>
      <c r="AG48" s="26">
        <f>IF(AND($B48="Jalon",$F48&gt;=AG$5,$F48&lt;AG$5+7),"◆","")</f>
        <v/>
      </c>
      <c r="AH48" s="26">
        <f>IF(AND($B48="Jalon",$F48&gt;=AH$5,$F48&lt;AH$5+7),"◆","")</f>
        <v/>
      </c>
      <c r="AI48" s="26">
        <f>IF(AND($B48="Jalon",$F48&gt;=AI$5,$F48&lt;AI$5+7),"◆","")</f>
        <v/>
      </c>
    </row>
    <row r="49">
      <c r="B49" s="20" t="n"/>
      <c r="C49" s="20" t="n"/>
      <c r="D49" s="20" t="n"/>
      <c r="E49" s="22" t="n"/>
      <c r="F49" s="22" t="n"/>
      <c r="G49" s="23">
        <f>IF(OR(E49="",F49=""),"",NETWORKDAYS(E49,F49))</f>
        <v/>
      </c>
      <c r="H49" s="24" t="n"/>
      <c r="I49" s="25">
        <f>IF(C49="","",IF(B49="Phase","",IF(H49&gt;=1,"Terminé",IF(AND(F49&lt;&gt;"",TODAY()&gt;F49),"En retard",IF(AND(E49&lt;&gt;"",TODAY()&gt;=E49),"En cours","À venir")))))</f>
        <v/>
      </c>
      <c r="J49" s="26">
        <f>IF(AND($B49="Jalon",$F49&gt;=J$5,$F49&lt;J$5+7),"◆","")</f>
        <v/>
      </c>
      <c r="K49" s="26">
        <f>IF(AND($B49="Jalon",$F49&gt;=K$5,$F49&lt;K$5+7),"◆","")</f>
        <v/>
      </c>
      <c r="L49" s="26">
        <f>IF(AND($B49="Jalon",$F49&gt;=L$5,$F49&lt;L$5+7),"◆","")</f>
        <v/>
      </c>
      <c r="M49" s="26">
        <f>IF(AND($B49="Jalon",$F49&gt;=M$5,$F49&lt;M$5+7),"◆","")</f>
        <v/>
      </c>
      <c r="N49" s="26">
        <f>IF(AND($B49="Jalon",$F49&gt;=N$5,$F49&lt;N$5+7),"◆","")</f>
        <v/>
      </c>
      <c r="O49" s="26">
        <f>IF(AND($B49="Jalon",$F49&gt;=O$5,$F49&lt;O$5+7),"◆","")</f>
        <v/>
      </c>
      <c r="P49" s="26">
        <f>IF(AND($B49="Jalon",$F49&gt;=P$5,$F49&lt;P$5+7),"◆","")</f>
        <v/>
      </c>
      <c r="Q49" s="26">
        <f>IF(AND($B49="Jalon",$F49&gt;=Q$5,$F49&lt;Q$5+7),"◆","")</f>
        <v/>
      </c>
      <c r="R49" s="26">
        <f>IF(AND($B49="Jalon",$F49&gt;=R$5,$F49&lt;R$5+7),"◆","")</f>
        <v/>
      </c>
      <c r="S49" s="26">
        <f>IF(AND($B49="Jalon",$F49&gt;=S$5,$F49&lt;S$5+7),"◆","")</f>
        <v/>
      </c>
      <c r="T49" s="26">
        <f>IF(AND($B49="Jalon",$F49&gt;=T$5,$F49&lt;T$5+7),"◆","")</f>
        <v/>
      </c>
      <c r="U49" s="26">
        <f>IF(AND($B49="Jalon",$F49&gt;=U$5,$F49&lt;U$5+7),"◆","")</f>
        <v/>
      </c>
      <c r="V49" s="26">
        <f>IF(AND($B49="Jalon",$F49&gt;=V$5,$F49&lt;V$5+7),"◆","")</f>
        <v/>
      </c>
      <c r="W49" s="26">
        <f>IF(AND($B49="Jalon",$F49&gt;=W$5,$F49&lt;W$5+7),"◆","")</f>
        <v/>
      </c>
      <c r="X49" s="26">
        <f>IF(AND($B49="Jalon",$F49&gt;=X$5,$F49&lt;X$5+7),"◆","")</f>
        <v/>
      </c>
      <c r="Y49" s="26">
        <f>IF(AND($B49="Jalon",$F49&gt;=Y$5,$F49&lt;Y$5+7),"◆","")</f>
        <v/>
      </c>
      <c r="Z49" s="26">
        <f>IF(AND($B49="Jalon",$F49&gt;=Z$5,$F49&lt;Z$5+7),"◆","")</f>
        <v/>
      </c>
      <c r="AA49" s="26">
        <f>IF(AND($B49="Jalon",$F49&gt;=AA$5,$F49&lt;AA$5+7),"◆","")</f>
        <v/>
      </c>
      <c r="AB49" s="26">
        <f>IF(AND($B49="Jalon",$F49&gt;=AB$5,$F49&lt;AB$5+7),"◆","")</f>
        <v/>
      </c>
      <c r="AC49" s="26">
        <f>IF(AND($B49="Jalon",$F49&gt;=AC$5,$F49&lt;AC$5+7),"◆","")</f>
        <v/>
      </c>
      <c r="AD49" s="26">
        <f>IF(AND($B49="Jalon",$F49&gt;=AD$5,$F49&lt;AD$5+7),"◆","")</f>
        <v/>
      </c>
      <c r="AE49" s="26">
        <f>IF(AND($B49="Jalon",$F49&gt;=AE$5,$F49&lt;AE$5+7),"◆","")</f>
        <v/>
      </c>
      <c r="AF49" s="26">
        <f>IF(AND($B49="Jalon",$F49&gt;=AF$5,$F49&lt;AF$5+7),"◆","")</f>
        <v/>
      </c>
      <c r="AG49" s="26">
        <f>IF(AND($B49="Jalon",$F49&gt;=AG$5,$F49&lt;AG$5+7),"◆","")</f>
        <v/>
      </c>
      <c r="AH49" s="26">
        <f>IF(AND($B49="Jalon",$F49&gt;=AH$5,$F49&lt;AH$5+7),"◆","")</f>
        <v/>
      </c>
      <c r="AI49" s="26">
        <f>IF(AND($B49="Jalon",$F49&gt;=AI$5,$F49&lt;AI$5+7),"◆","")</f>
        <v/>
      </c>
    </row>
    <row r="50">
      <c r="B50" s="20" t="n"/>
      <c r="C50" s="20" t="n"/>
      <c r="D50" s="20" t="n"/>
      <c r="E50" s="22" t="n"/>
      <c r="F50" s="22" t="n"/>
      <c r="G50" s="23">
        <f>IF(OR(E50="",F50=""),"",NETWORKDAYS(E50,F50))</f>
        <v/>
      </c>
      <c r="H50" s="24" t="n"/>
      <c r="I50" s="25">
        <f>IF(C50="","",IF(B50="Phase","",IF(H50&gt;=1,"Terminé",IF(AND(F50&lt;&gt;"",TODAY()&gt;F50),"En retard",IF(AND(E50&lt;&gt;"",TODAY()&gt;=E50),"En cours","À venir")))))</f>
        <v/>
      </c>
      <c r="J50" s="26">
        <f>IF(AND($B50="Jalon",$F50&gt;=J$5,$F50&lt;J$5+7),"◆","")</f>
        <v/>
      </c>
      <c r="K50" s="26">
        <f>IF(AND($B50="Jalon",$F50&gt;=K$5,$F50&lt;K$5+7),"◆","")</f>
        <v/>
      </c>
      <c r="L50" s="26">
        <f>IF(AND($B50="Jalon",$F50&gt;=L$5,$F50&lt;L$5+7),"◆","")</f>
        <v/>
      </c>
      <c r="M50" s="26">
        <f>IF(AND($B50="Jalon",$F50&gt;=M$5,$F50&lt;M$5+7),"◆","")</f>
        <v/>
      </c>
      <c r="N50" s="26">
        <f>IF(AND($B50="Jalon",$F50&gt;=N$5,$F50&lt;N$5+7),"◆","")</f>
        <v/>
      </c>
      <c r="O50" s="26">
        <f>IF(AND($B50="Jalon",$F50&gt;=O$5,$F50&lt;O$5+7),"◆","")</f>
        <v/>
      </c>
      <c r="P50" s="26">
        <f>IF(AND($B50="Jalon",$F50&gt;=P$5,$F50&lt;P$5+7),"◆","")</f>
        <v/>
      </c>
      <c r="Q50" s="26">
        <f>IF(AND($B50="Jalon",$F50&gt;=Q$5,$F50&lt;Q$5+7),"◆","")</f>
        <v/>
      </c>
      <c r="R50" s="26">
        <f>IF(AND($B50="Jalon",$F50&gt;=R$5,$F50&lt;R$5+7),"◆","")</f>
        <v/>
      </c>
      <c r="S50" s="26">
        <f>IF(AND($B50="Jalon",$F50&gt;=S$5,$F50&lt;S$5+7),"◆","")</f>
        <v/>
      </c>
      <c r="T50" s="26">
        <f>IF(AND($B50="Jalon",$F50&gt;=T$5,$F50&lt;T$5+7),"◆","")</f>
        <v/>
      </c>
      <c r="U50" s="26">
        <f>IF(AND($B50="Jalon",$F50&gt;=U$5,$F50&lt;U$5+7),"◆","")</f>
        <v/>
      </c>
      <c r="V50" s="26">
        <f>IF(AND($B50="Jalon",$F50&gt;=V$5,$F50&lt;V$5+7),"◆","")</f>
        <v/>
      </c>
      <c r="W50" s="26">
        <f>IF(AND($B50="Jalon",$F50&gt;=W$5,$F50&lt;W$5+7),"◆","")</f>
        <v/>
      </c>
      <c r="X50" s="26">
        <f>IF(AND($B50="Jalon",$F50&gt;=X$5,$F50&lt;X$5+7),"◆","")</f>
        <v/>
      </c>
      <c r="Y50" s="26">
        <f>IF(AND($B50="Jalon",$F50&gt;=Y$5,$F50&lt;Y$5+7),"◆","")</f>
        <v/>
      </c>
      <c r="Z50" s="26">
        <f>IF(AND($B50="Jalon",$F50&gt;=Z$5,$F50&lt;Z$5+7),"◆","")</f>
        <v/>
      </c>
      <c r="AA50" s="26">
        <f>IF(AND($B50="Jalon",$F50&gt;=AA$5,$F50&lt;AA$5+7),"◆","")</f>
        <v/>
      </c>
      <c r="AB50" s="26">
        <f>IF(AND($B50="Jalon",$F50&gt;=AB$5,$F50&lt;AB$5+7),"◆","")</f>
        <v/>
      </c>
      <c r="AC50" s="26">
        <f>IF(AND($B50="Jalon",$F50&gt;=AC$5,$F50&lt;AC$5+7),"◆","")</f>
        <v/>
      </c>
      <c r="AD50" s="26">
        <f>IF(AND($B50="Jalon",$F50&gt;=AD$5,$F50&lt;AD$5+7),"◆","")</f>
        <v/>
      </c>
      <c r="AE50" s="26">
        <f>IF(AND($B50="Jalon",$F50&gt;=AE$5,$F50&lt;AE$5+7),"◆","")</f>
        <v/>
      </c>
      <c r="AF50" s="26">
        <f>IF(AND($B50="Jalon",$F50&gt;=AF$5,$F50&lt;AF$5+7),"◆","")</f>
        <v/>
      </c>
      <c r="AG50" s="26">
        <f>IF(AND($B50="Jalon",$F50&gt;=AG$5,$F50&lt;AG$5+7),"◆","")</f>
        <v/>
      </c>
      <c r="AH50" s="26">
        <f>IF(AND($B50="Jalon",$F50&gt;=AH$5,$F50&lt;AH$5+7),"◆","")</f>
        <v/>
      </c>
      <c r="AI50" s="26">
        <f>IF(AND($B50="Jalon",$F50&gt;=AI$5,$F50&lt;AI$5+7),"◆","")</f>
        <v/>
      </c>
    </row>
    <row r="51">
      <c r="B51" s="20" t="n"/>
      <c r="C51" s="20" t="n"/>
      <c r="D51" s="20" t="n"/>
      <c r="E51" s="22" t="n"/>
      <c r="F51" s="22" t="n"/>
      <c r="G51" s="23">
        <f>IF(OR(E51="",F51=""),"",NETWORKDAYS(E51,F51))</f>
        <v/>
      </c>
      <c r="H51" s="24" t="n"/>
      <c r="I51" s="25">
        <f>IF(C51="","",IF(B51="Phase","",IF(H51&gt;=1,"Terminé",IF(AND(F51&lt;&gt;"",TODAY()&gt;F51),"En retard",IF(AND(E51&lt;&gt;"",TODAY()&gt;=E51),"En cours","À venir")))))</f>
        <v/>
      </c>
      <c r="J51" s="26">
        <f>IF(AND($B51="Jalon",$F51&gt;=J$5,$F51&lt;J$5+7),"◆","")</f>
        <v/>
      </c>
      <c r="K51" s="26">
        <f>IF(AND($B51="Jalon",$F51&gt;=K$5,$F51&lt;K$5+7),"◆","")</f>
        <v/>
      </c>
      <c r="L51" s="26">
        <f>IF(AND($B51="Jalon",$F51&gt;=L$5,$F51&lt;L$5+7),"◆","")</f>
        <v/>
      </c>
      <c r="M51" s="26">
        <f>IF(AND($B51="Jalon",$F51&gt;=M$5,$F51&lt;M$5+7),"◆","")</f>
        <v/>
      </c>
      <c r="N51" s="26">
        <f>IF(AND($B51="Jalon",$F51&gt;=N$5,$F51&lt;N$5+7),"◆","")</f>
        <v/>
      </c>
      <c r="O51" s="26">
        <f>IF(AND($B51="Jalon",$F51&gt;=O$5,$F51&lt;O$5+7),"◆","")</f>
        <v/>
      </c>
      <c r="P51" s="26">
        <f>IF(AND($B51="Jalon",$F51&gt;=P$5,$F51&lt;P$5+7),"◆","")</f>
        <v/>
      </c>
      <c r="Q51" s="26">
        <f>IF(AND($B51="Jalon",$F51&gt;=Q$5,$F51&lt;Q$5+7),"◆","")</f>
        <v/>
      </c>
      <c r="R51" s="26">
        <f>IF(AND($B51="Jalon",$F51&gt;=R$5,$F51&lt;R$5+7),"◆","")</f>
        <v/>
      </c>
      <c r="S51" s="26">
        <f>IF(AND($B51="Jalon",$F51&gt;=S$5,$F51&lt;S$5+7),"◆","")</f>
        <v/>
      </c>
      <c r="T51" s="26">
        <f>IF(AND($B51="Jalon",$F51&gt;=T$5,$F51&lt;T$5+7),"◆","")</f>
        <v/>
      </c>
      <c r="U51" s="26">
        <f>IF(AND($B51="Jalon",$F51&gt;=U$5,$F51&lt;U$5+7),"◆","")</f>
        <v/>
      </c>
      <c r="V51" s="26">
        <f>IF(AND($B51="Jalon",$F51&gt;=V$5,$F51&lt;V$5+7),"◆","")</f>
        <v/>
      </c>
      <c r="W51" s="26">
        <f>IF(AND($B51="Jalon",$F51&gt;=W$5,$F51&lt;W$5+7),"◆","")</f>
        <v/>
      </c>
      <c r="X51" s="26">
        <f>IF(AND($B51="Jalon",$F51&gt;=X$5,$F51&lt;X$5+7),"◆","")</f>
        <v/>
      </c>
      <c r="Y51" s="26">
        <f>IF(AND($B51="Jalon",$F51&gt;=Y$5,$F51&lt;Y$5+7),"◆","")</f>
        <v/>
      </c>
      <c r="Z51" s="26">
        <f>IF(AND($B51="Jalon",$F51&gt;=Z$5,$F51&lt;Z$5+7),"◆","")</f>
        <v/>
      </c>
      <c r="AA51" s="26">
        <f>IF(AND($B51="Jalon",$F51&gt;=AA$5,$F51&lt;AA$5+7),"◆","")</f>
        <v/>
      </c>
      <c r="AB51" s="26">
        <f>IF(AND($B51="Jalon",$F51&gt;=AB$5,$F51&lt;AB$5+7),"◆","")</f>
        <v/>
      </c>
      <c r="AC51" s="26">
        <f>IF(AND($B51="Jalon",$F51&gt;=AC$5,$F51&lt;AC$5+7),"◆","")</f>
        <v/>
      </c>
      <c r="AD51" s="26">
        <f>IF(AND($B51="Jalon",$F51&gt;=AD$5,$F51&lt;AD$5+7),"◆","")</f>
        <v/>
      </c>
      <c r="AE51" s="26">
        <f>IF(AND($B51="Jalon",$F51&gt;=AE$5,$F51&lt;AE$5+7),"◆","")</f>
        <v/>
      </c>
      <c r="AF51" s="26">
        <f>IF(AND($B51="Jalon",$F51&gt;=AF$5,$F51&lt;AF$5+7),"◆","")</f>
        <v/>
      </c>
      <c r="AG51" s="26">
        <f>IF(AND($B51="Jalon",$F51&gt;=AG$5,$F51&lt;AG$5+7),"◆","")</f>
        <v/>
      </c>
      <c r="AH51" s="26">
        <f>IF(AND($B51="Jalon",$F51&gt;=AH$5,$F51&lt;AH$5+7),"◆","")</f>
        <v/>
      </c>
      <c r="AI51" s="26">
        <f>IF(AND($B51="Jalon",$F51&gt;=AI$5,$F51&lt;AI$5+7),"◆","")</f>
        <v/>
      </c>
    </row>
    <row r="52">
      <c r="B52" s="20" t="n"/>
      <c r="C52" s="20" t="n"/>
      <c r="D52" s="20" t="n"/>
      <c r="E52" s="22" t="n"/>
      <c r="F52" s="22" t="n"/>
      <c r="G52" s="23">
        <f>IF(OR(E52="",F52=""),"",NETWORKDAYS(E52,F52))</f>
        <v/>
      </c>
      <c r="H52" s="24" t="n"/>
      <c r="I52" s="25">
        <f>IF(C52="","",IF(B52="Phase","",IF(H52&gt;=1,"Terminé",IF(AND(F52&lt;&gt;"",TODAY()&gt;F52),"En retard",IF(AND(E52&lt;&gt;"",TODAY()&gt;=E52),"En cours","À venir")))))</f>
        <v/>
      </c>
      <c r="J52" s="26">
        <f>IF(AND($B52="Jalon",$F52&gt;=J$5,$F52&lt;J$5+7),"◆","")</f>
        <v/>
      </c>
      <c r="K52" s="26">
        <f>IF(AND($B52="Jalon",$F52&gt;=K$5,$F52&lt;K$5+7),"◆","")</f>
        <v/>
      </c>
      <c r="L52" s="26">
        <f>IF(AND($B52="Jalon",$F52&gt;=L$5,$F52&lt;L$5+7),"◆","")</f>
        <v/>
      </c>
      <c r="M52" s="26">
        <f>IF(AND($B52="Jalon",$F52&gt;=M$5,$F52&lt;M$5+7),"◆","")</f>
        <v/>
      </c>
      <c r="N52" s="26">
        <f>IF(AND($B52="Jalon",$F52&gt;=N$5,$F52&lt;N$5+7),"◆","")</f>
        <v/>
      </c>
      <c r="O52" s="26">
        <f>IF(AND($B52="Jalon",$F52&gt;=O$5,$F52&lt;O$5+7),"◆","")</f>
        <v/>
      </c>
      <c r="P52" s="26">
        <f>IF(AND($B52="Jalon",$F52&gt;=P$5,$F52&lt;P$5+7),"◆","")</f>
        <v/>
      </c>
      <c r="Q52" s="26">
        <f>IF(AND($B52="Jalon",$F52&gt;=Q$5,$F52&lt;Q$5+7),"◆","")</f>
        <v/>
      </c>
      <c r="R52" s="26">
        <f>IF(AND($B52="Jalon",$F52&gt;=R$5,$F52&lt;R$5+7),"◆","")</f>
        <v/>
      </c>
      <c r="S52" s="26">
        <f>IF(AND($B52="Jalon",$F52&gt;=S$5,$F52&lt;S$5+7),"◆","")</f>
        <v/>
      </c>
      <c r="T52" s="26">
        <f>IF(AND($B52="Jalon",$F52&gt;=T$5,$F52&lt;T$5+7),"◆","")</f>
        <v/>
      </c>
      <c r="U52" s="26">
        <f>IF(AND($B52="Jalon",$F52&gt;=U$5,$F52&lt;U$5+7),"◆","")</f>
        <v/>
      </c>
      <c r="V52" s="26">
        <f>IF(AND($B52="Jalon",$F52&gt;=V$5,$F52&lt;V$5+7),"◆","")</f>
        <v/>
      </c>
      <c r="W52" s="26">
        <f>IF(AND($B52="Jalon",$F52&gt;=W$5,$F52&lt;W$5+7),"◆","")</f>
        <v/>
      </c>
      <c r="X52" s="26">
        <f>IF(AND($B52="Jalon",$F52&gt;=X$5,$F52&lt;X$5+7),"◆","")</f>
        <v/>
      </c>
      <c r="Y52" s="26">
        <f>IF(AND($B52="Jalon",$F52&gt;=Y$5,$F52&lt;Y$5+7),"◆","")</f>
        <v/>
      </c>
      <c r="Z52" s="26">
        <f>IF(AND($B52="Jalon",$F52&gt;=Z$5,$F52&lt;Z$5+7),"◆","")</f>
        <v/>
      </c>
      <c r="AA52" s="26">
        <f>IF(AND($B52="Jalon",$F52&gt;=AA$5,$F52&lt;AA$5+7),"◆","")</f>
        <v/>
      </c>
      <c r="AB52" s="26">
        <f>IF(AND($B52="Jalon",$F52&gt;=AB$5,$F52&lt;AB$5+7),"◆","")</f>
        <v/>
      </c>
      <c r="AC52" s="26">
        <f>IF(AND($B52="Jalon",$F52&gt;=AC$5,$F52&lt;AC$5+7),"◆","")</f>
        <v/>
      </c>
      <c r="AD52" s="26">
        <f>IF(AND($B52="Jalon",$F52&gt;=AD$5,$F52&lt;AD$5+7),"◆","")</f>
        <v/>
      </c>
      <c r="AE52" s="26">
        <f>IF(AND($B52="Jalon",$F52&gt;=AE$5,$F52&lt;AE$5+7),"◆","")</f>
        <v/>
      </c>
      <c r="AF52" s="26">
        <f>IF(AND($B52="Jalon",$F52&gt;=AF$5,$F52&lt;AF$5+7),"◆","")</f>
        <v/>
      </c>
      <c r="AG52" s="26">
        <f>IF(AND($B52="Jalon",$F52&gt;=AG$5,$F52&lt;AG$5+7),"◆","")</f>
        <v/>
      </c>
      <c r="AH52" s="26">
        <f>IF(AND($B52="Jalon",$F52&gt;=AH$5,$F52&lt;AH$5+7),"◆","")</f>
        <v/>
      </c>
      <c r="AI52" s="26">
        <f>IF(AND($B52="Jalon",$F52&gt;=AI$5,$F52&lt;AI$5+7),"◆","")</f>
        <v/>
      </c>
    </row>
    <row r="53">
      <c r="B53" s="20" t="n"/>
      <c r="C53" s="20" t="n"/>
      <c r="D53" s="20" t="n"/>
      <c r="E53" s="22" t="n"/>
      <c r="F53" s="22" t="n"/>
      <c r="G53" s="23">
        <f>IF(OR(E53="",F53=""),"",NETWORKDAYS(E53,F53))</f>
        <v/>
      </c>
      <c r="H53" s="24" t="n"/>
      <c r="I53" s="25">
        <f>IF(C53="","",IF(B53="Phase","",IF(H53&gt;=1,"Terminé",IF(AND(F53&lt;&gt;"",TODAY()&gt;F53),"En retard",IF(AND(E53&lt;&gt;"",TODAY()&gt;=E53),"En cours","À venir")))))</f>
        <v/>
      </c>
      <c r="J53" s="26">
        <f>IF(AND($B53="Jalon",$F53&gt;=J$5,$F53&lt;J$5+7),"◆","")</f>
        <v/>
      </c>
      <c r="K53" s="26">
        <f>IF(AND($B53="Jalon",$F53&gt;=K$5,$F53&lt;K$5+7),"◆","")</f>
        <v/>
      </c>
      <c r="L53" s="26">
        <f>IF(AND($B53="Jalon",$F53&gt;=L$5,$F53&lt;L$5+7),"◆","")</f>
        <v/>
      </c>
      <c r="M53" s="26">
        <f>IF(AND($B53="Jalon",$F53&gt;=M$5,$F53&lt;M$5+7),"◆","")</f>
        <v/>
      </c>
      <c r="N53" s="26">
        <f>IF(AND($B53="Jalon",$F53&gt;=N$5,$F53&lt;N$5+7),"◆","")</f>
        <v/>
      </c>
      <c r="O53" s="26">
        <f>IF(AND($B53="Jalon",$F53&gt;=O$5,$F53&lt;O$5+7),"◆","")</f>
        <v/>
      </c>
      <c r="P53" s="26">
        <f>IF(AND($B53="Jalon",$F53&gt;=P$5,$F53&lt;P$5+7),"◆","")</f>
        <v/>
      </c>
      <c r="Q53" s="26">
        <f>IF(AND($B53="Jalon",$F53&gt;=Q$5,$F53&lt;Q$5+7),"◆","")</f>
        <v/>
      </c>
      <c r="R53" s="26">
        <f>IF(AND($B53="Jalon",$F53&gt;=R$5,$F53&lt;R$5+7),"◆","")</f>
        <v/>
      </c>
      <c r="S53" s="26">
        <f>IF(AND($B53="Jalon",$F53&gt;=S$5,$F53&lt;S$5+7),"◆","")</f>
        <v/>
      </c>
      <c r="T53" s="26">
        <f>IF(AND($B53="Jalon",$F53&gt;=T$5,$F53&lt;T$5+7),"◆","")</f>
        <v/>
      </c>
      <c r="U53" s="26">
        <f>IF(AND($B53="Jalon",$F53&gt;=U$5,$F53&lt;U$5+7),"◆","")</f>
        <v/>
      </c>
      <c r="V53" s="26">
        <f>IF(AND($B53="Jalon",$F53&gt;=V$5,$F53&lt;V$5+7),"◆","")</f>
        <v/>
      </c>
      <c r="W53" s="26">
        <f>IF(AND($B53="Jalon",$F53&gt;=W$5,$F53&lt;W$5+7),"◆","")</f>
        <v/>
      </c>
      <c r="X53" s="26">
        <f>IF(AND($B53="Jalon",$F53&gt;=X$5,$F53&lt;X$5+7),"◆","")</f>
        <v/>
      </c>
      <c r="Y53" s="26">
        <f>IF(AND($B53="Jalon",$F53&gt;=Y$5,$F53&lt;Y$5+7),"◆","")</f>
        <v/>
      </c>
      <c r="Z53" s="26">
        <f>IF(AND($B53="Jalon",$F53&gt;=Z$5,$F53&lt;Z$5+7),"◆","")</f>
        <v/>
      </c>
      <c r="AA53" s="26">
        <f>IF(AND($B53="Jalon",$F53&gt;=AA$5,$F53&lt;AA$5+7),"◆","")</f>
        <v/>
      </c>
      <c r="AB53" s="26">
        <f>IF(AND($B53="Jalon",$F53&gt;=AB$5,$F53&lt;AB$5+7),"◆","")</f>
        <v/>
      </c>
      <c r="AC53" s="26">
        <f>IF(AND($B53="Jalon",$F53&gt;=AC$5,$F53&lt;AC$5+7),"◆","")</f>
        <v/>
      </c>
      <c r="AD53" s="26">
        <f>IF(AND($B53="Jalon",$F53&gt;=AD$5,$F53&lt;AD$5+7),"◆","")</f>
        <v/>
      </c>
      <c r="AE53" s="26">
        <f>IF(AND($B53="Jalon",$F53&gt;=AE$5,$F53&lt;AE$5+7),"◆","")</f>
        <v/>
      </c>
      <c r="AF53" s="26">
        <f>IF(AND($B53="Jalon",$F53&gt;=AF$5,$F53&lt;AF$5+7),"◆","")</f>
        <v/>
      </c>
      <c r="AG53" s="26">
        <f>IF(AND($B53="Jalon",$F53&gt;=AG$5,$F53&lt;AG$5+7),"◆","")</f>
        <v/>
      </c>
      <c r="AH53" s="26">
        <f>IF(AND($B53="Jalon",$F53&gt;=AH$5,$F53&lt;AH$5+7),"◆","")</f>
        <v/>
      </c>
      <c r="AI53" s="26">
        <f>IF(AND($B53="Jalon",$F53&gt;=AI$5,$F53&lt;AI$5+7),"◆","")</f>
        <v/>
      </c>
    </row>
    <row r="54">
      <c r="B54" s="20" t="n"/>
      <c r="C54" s="20" t="n"/>
      <c r="D54" s="20" t="n"/>
      <c r="E54" s="22" t="n"/>
      <c r="F54" s="22" t="n"/>
      <c r="G54" s="23">
        <f>IF(OR(E54="",F54=""),"",NETWORKDAYS(E54,F54))</f>
        <v/>
      </c>
      <c r="H54" s="24" t="n"/>
      <c r="I54" s="25">
        <f>IF(C54="","",IF(B54="Phase","",IF(H54&gt;=1,"Terminé",IF(AND(F54&lt;&gt;"",TODAY()&gt;F54),"En retard",IF(AND(E54&lt;&gt;"",TODAY()&gt;=E54),"En cours","À venir")))))</f>
        <v/>
      </c>
      <c r="J54" s="26">
        <f>IF(AND($B54="Jalon",$F54&gt;=J$5,$F54&lt;J$5+7),"◆","")</f>
        <v/>
      </c>
      <c r="K54" s="26">
        <f>IF(AND($B54="Jalon",$F54&gt;=K$5,$F54&lt;K$5+7),"◆","")</f>
        <v/>
      </c>
      <c r="L54" s="26">
        <f>IF(AND($B54="Jalon",$F54&gt;=L$5,$F54&lt;L$5+7),"◆","")</f>
        <v/>
      </c>
      <c r="M54" s="26">
        <f>IF(AND($B54="Jalon",$F54&gt;=M$5,$F54&lt;M$5+7),"◆","")</f>
        <v/>
      </c>
      <c r="N54" s="26">
        <f>IF(AND($B54="Jalon",$F54&gt;=N$5,$F54&lt;N$5+7),"◆","")</f>
        <v/>
      </c>
      <c r="O54" s="26">
        <f>IF(AND($B54="Jalon",$F54&gt;=O$5,$F54&lt;O$5+7),"◆","")</f>
        <v/>
      </c>
      <c r="P54" s="26">
        <f>IF(AND($B54="Jalon",$F54&gt;=P$5,$F54&lt;P$5+7),"◆","")</f>
        <v/>
      </c>
      <c r="Q54" s="26">
        <f>IF(AND($B54="Jalon",$F54&gt;=Q$5,$F54&lt;Q$5+7),"◆","")</f>
        <v/>
      </c>
      <c r="R54" s="26">
        <f>IF(AND($B54="Jalon",$F54&gt;=R$5,$F54&lt;R$5+7),"◆","")</f>
        <v/>
      </c>
      <c r="S54" s="26">
        <f>IF(AND($B54="Jalon",$F54&gt;=S$5,$F54&lt;S$5+7),"◆","")</f>
        <v/>
      </c>
      <c r="T54" s="26">
        <f>IF(AND($B54="Jalon",$F54&gt;=T$5,$F54&lt;T$5+7),"◆","")</f>
        <v/>
      </c>
      <c r="U54" s="26">
        <f>IF(AND($B54="Jalon",$F54&gt;=U$5,$F54&lt;U$5+7),"◆","")</f>
        <v/>
      </c>
      <c r="V54" s="26">
        <f>IF(AND($B54="Jalon",$F54&gt;=V$5,$F54&lt;V$5+7),"◆","")</f>
        <v/>
      </c>
      <c r="W54" s="26">
        <f>IF(AND($B54="Jalon",$F54&gt;=W$5,$F54&lt;W$5+7),"◆","")</f>
        <v/>
      </c>
      <c r="X54" s="26">
        <f>IF(AND($B54="Jalon",$F54&gt;=X$5,$F54&lt;X$5+7),"◆","")</f>
        <v/>
      </c>
      <c r="Y54" s="26">
        <f>IF(AND($B54="Jalon",$F54&gt;=Y$5,$F54&lt;Y$5+7),"◆","")</f>
        <v/>
      </c>
      <c r="Z54" s="26">
        <f>IF(AND($B54="Jalon",$F54&gt;=Z$5,$F54&lt;Z$5+7),"◆","")</f>
        <v/>
      </c>
      <c r="AA54" s="26">
        <f>IF(AND($B54="Jalon",$F54&gt;=AA$5,$F54&lt;AA$5+7),"◆","")</f>
        <v/>
      </c>
      <c r="AB54" s="26">
        <f>IF(AND($B54="Jalon",$F54&gt;=AB$5,$F54&lt;AB$5+7),"◆","")</f>
        <v/>
      </c>
      <c r="AC54" s="26">
        <f>IF(AND($B54="Jalon",$F54&gt;=AC$5,$F54&lt;AC$5+7),"◆","")</f>
        <v/>
      </c>
      <c r="AD54" s="26">
        <f>IF(AND($B54="Jalon",$F54&gt;=AD$5,$F54&lt;AD$5+7),"◆","")</f>
        <v/>
      </c>
      <c r="AE54" s="26">
        <f>IF(AND($B54="Jalon",$F54&gt;=AE$5,$F54&lt;AE$5+7),"◆","")</f>
        <v/>
      </c>
      <c r="AF54" s="26">
        <f>IF(AND($B54="Jalon",$F54&gt;=AF$5,$F54&lt;AF$5+7),"◆","")</f>
        <v/>
      </c>
      <c r="AG54" s="26">
        <f>IF(AND($B54="Jalon",$F54&gt;=AG$5,$F54&lt;AG$5+7),"◆","")</f>
        <v/>
      </c>
      <c r="AH54" s="26">
        <f>IF(AND($B54="Jalon",$F54&gt;=AH$5,$F54&lt;AH$5+7),"◆","")</f>
        <v/>
      </c>
      <c r="AI54" s="26">
        <f>IF(AND($B54="Jalon",$F54&gt;=AI$5,$F54&lt;AI$5+7),"◆","")</f>
        <v/>
      </c>
    </row>
    <row r="55">
      <c r="B55" s="20" t="n"/>
      <c r="C55" s="20" t="n"/>
      <c r="D55" s="20" t="n"/>
      <c r="E55" s="22" t="n"/>
      <c r="F55" s="22" t="n"/>
      <c r="G55" s="23">
        <f>IF(OR(E55="",F55=""),"",NETWORKDAYS(E55,F55))</f>
        <v/>
      </c>
      <c r="H55" s="24" t="n"/>
      <c r="I55" s="25">
        <f>IF(C55="","",IF(B55="Phase","",IF(H55&gt;=1,"Terminé",IF(AND(F55&lt;&gt;"",TODAY()&gt;F55),"En retard",IF(AND(E55&lt;&gt;"",TODAY()&gt;=E55),"En cours","À venir")))))</f>
        <v/>
      </c>
      <c r="J55" s="26">
        <f>IF(AND($B55="Jalon",$F55&gt;=J$5,$F55&lt;J$5+7),"◆","")</f>
        <v/>
      </c>
      <c r="K55" s="26">
        <f>IF(AND($B55="Jalon",$F55&gt;=K$5,$F55&lt;K$5+7),"◆","")</f>
        <v/>
      </c>
      <c r="L55" s="26">
        <f>IF(AND($B55="Jalon",$F55&gt;=L$5,$F55&lt;L$5+7),"◆","")</f>
        <v/>
      </c>
      <c r="M55" s="26">
        <f>IF(AND($B55="Jalon",$F55&gt;=M$5,$F55&lt;M$5+7),"◆","")</f>
        <v/>
      </c>
      <c r="N55" s="26">
        <f>IF(AND($B55="Jalon",$F55&gt;=N$5,$F55&lt;N$5+7),"◆","")</f>
        <v/>
      </c>
      <c r="O55" s="26">
        <f>IF(AND($B55="Jalon",$F55&gt;=O$5,$F55&lt;O$5+7),"◆","")</f>
        <v/>
      </c>
      <c r="P55" s="26">
        <f>IF(AND($B55="Jalon",$F55&gt;=P$5,$F55&lt;P$5+7),"◆","")</f>
        <v/>
      </c>
      <c r="Q55" s="26">
        <f>IF(AND($B55="Jalon",$F55&gt;=Q$5,$F55&lt;Q$5+7),"◆","")</f>
        <v/>
      </c>
      <c r="R55" s="26">
        <f>IF(AND($B55="Jalon",$F55&gt;=R$5,$F55&lt;R$5+7),"◆","")</f>
        <v/>
      </c>
      <c r="S55" s="26">
        <f>IF(AND($B55="Jalon",$F55&gt;=S$5,$F55&lt;S$5+7),"◆","")</f>
        <v/>
      </c>
      <c r="T55" s="26">
        <f>IF(AND($B55="Jalon",$F55&gt;=T$5,$F55&lt;T$5+7),"◆","")</f>
        <v/>
      </c>
      <c r="U55" s="26">
        <f>IF(AND($B55="Jalon",$F55&gt;=U$5,$F55&lt;U$5+7),"◆","")</f>
        <v/>
      </c>
      <c r="V55" s="26">
        <f>IF(AND($B55="Jalon",$F55&gt;=V$5,$F55&lt;V$5+7),"◆","")</f>
        <v/>
      </c>
      <c r="W55" s="26">
        <f>IF(AND($B55="Jalon",$F55&gt;=W$5,$F55&lt;W$5+7),"◆","")</f>
        <v/>
      </c>
      <c r="X55" s="26">
        <f>IF(AND($B55="Jalon",$F55&gt;=X$5,$F55&lt;X$5+7),"◆","")</f>
        <v/>
      </c>
      <c r="Y55" s="26">
        <f>IF(AND($B55="Jalon",$F55&gt;=Y$5,$F55&lt;Y$5+7),"◆","")</f>
        <v/>
      </c>
      <c r="Z55" s="26">
        <f>IF(AND($B55="Jalon",$F55&gt;=Z$5,$F55&lt;Z$5+7),"◆","")</f>
        <v/>
      </c>
      <c r="AA55" s="26">
        <f>IF(AND($B55="Jalon",$F55&gt;=AA$5,$F55&lt;AA$5+7),"◆","")</f>
        <v/>
      </c>
      <c r="AB55" s="26">
        <f>IF(AND($B55="Jalon",$F55&gt;=AB$5,$F55&lt;AB$5+7),"◆","")</f>
        <v/>
      </c>
      <c r="AC55" s="26">
        <f>IF(AND($B55="Jalon",$F55&gt;=AC$5,$F55&lt;AC$5+7),"◆","")</f>
        <v/>
      </c>
      <c r="AD55" s="26">
        <f>IF(AND($B55="Jalon",$F55&gt;=AD$5,$F55&lt;AD$5+7),"◆","")</f>
        <v/>
      </c>
      <c r="AE55" s="26">
        <f>IF(AND($B55="Jalon",$F55&gt;=AE$5,$F55&lt;AE$5+7),"◆","")</f>
        <v/>
      </c>
      <c r="AF55" s="26">
        <f>IF(AND($B55="Jalon",$F55&gt;=AF$5,$F55&lt;AF$5+7),"◆","")</f>
        <v/>
      </c>
      <c r="AG55" s="26">
        <f>IF(AND($B55="Jalon",$F55&gt;=AG$5,$F55&lt;AG$5+7),"◆","")</f>
        <v/>
      </c>
      <c r="AH55" s="26">
        <f>IF(AND($B55="Jalon",$F55&gt;=AH$5,$F55&lt;AH$5+7),"◆","")</f>
        <v/>
      </c>
      <c r="AI55" s="26">
        <f>IF(AND($B55="Jalon",$F55&gt;=AI$5,$F55&lt;AI$5+7),"◆","")</f>
        <v/>
      </c>
    </row>
    <row r="56">
      <c r="B56" s="20" t="n"/>
      <c r="C56" s="20" t="n"/>
      <c r="D56" s="20" t="n"/>
      <c r="E56" s="22" t="n"/>
      <c r="F56" s="22" t="n"/>
      <c r="G56" s="23">
        <f>IF(OR(E56="",F56=""),"",NETWORKDAYS(E56,F56))</f>
        <v/>
      </c>
      <c r="H56" s="24" t="n"/>
      <c r="I56" s="25">
        <f>IF(C56="","",IF(B56="Phase","",IF(H56&gt;=1,"Terminé",IF(AND(F56&lt;&gt;"",TODAY()&gt;F56),"En retard",IF(AND(E56&lt;&gt;"",TODAY()&gt;=E56),"En cours","À venir")))))</f>
        <v/>
      </c>
      <c r="J56" s="26">
        <f>IF(AND($B56="Jalon",$F56&gt;=J$5,$F56&lt;J$5+7),"◆","")</f>
        <v/>
      </c>
      <c r="K56" s="26">
        <f>IF(AND($B56="Jalon",$F56&gt;=K$5,$F56&lt;K$5+7),"◆","")</f>
        <v/>
      </c>
      <c r="L56" s="26">
        <f>IF(AND($B56="Jalon",$F56&gt;=L$5,$F56&lt;L$5+7),"◆","")</f>
        <v/>
      </c>
      <c r="M56" s="26">
        <f>IF(AND($B56="Jalon",$F56&gt;=M$5,$F56&lt;M$5+7),"◆","")</f>
        <v/>
      </c>
      <c r="N56" s="26">
        <f>IF(AND($B56="Jalon",$F56&gt;=N$5,$F56&lt;N$5+7),"◆","")</f>
        <v/>
      </c>
      <c r="O56" s="26">
        <f>IF(AND($B56="Jalon",$F56&gt;=O$5,$F56&lt;O$5+7),"◆","")</f>
        <v/>
      </c>
      <c r="P56" s="26">
        <f>IF(AND($B56="Jalon",$F56&gt;=P$5,$F56&lt;P$5+7),"◆","")</f>
        <v/>
      </c>
      <c r="Q56" s="26">
        <f>IF(AND($B56="Jalon",$F56&gt;=Q$5,$F56&lt;Q$5+7),"◆","")</f>
        <v/>
      </c>
      <c r="R56" s="26">
        <f>IF(AND($B56="Jalon",$F56&gt;=R$5,$F56&lt;R$5+7),"◆","")</f>
        <v/>
      </c>
      <c r="S56" s="26">
        <f>IF(AND($B56="Jalon",$F56&gt;=S$5,$F56&lt;S$5+7),"◆","")</f>
        <v/>
      </c>
      <c r="T56" s="26">
        <f>IF(AND($B56="Jalon",$F56&gt;=T$5,$F56&lt;T$5+7),"◆","")</f>
        <v/>
      </c>
      <c r="U56" s="26">
        <f>IF(AND($B56="Jalon",$F56&gt;=U$5,$F56&lt;U$5+7),"◆","")</f>
        <v/>
      </c>
      <c r="V56" s="26">
        <f>IF(AND($B56="Jalon",$F56&gt;=V$5,$F56&lt;V$5+7),"◆","")</f>
        <v/>
      </c>
      <c r="W56" s="26">
        <f>IF(AND($B56="Jalon",$F56&gt;=W$5,$F56&lt;W$5+7),"◆","")</f>
        <v/>
      </c>
      <c r="X56" s="26">
        <f>IF(AND($B56="Jalon",$F56&gt;=X$5,$F56&lt;X$5+7),"◆","")</f>
        <v/>
      </c>
      <c r="Y56" s="26">
        <f>IF(AND($B56="Jalon",$F56&gt;=Y$5,$F56&lt;Y$5+7),"◆","")</f>
        <v/>
      </c>
      <c r="Z56" s="26">
        <f>IF(AND($B56="Jalon",$F56&gt;=Z$5,$F56&lt;Z$5+7),"◆","")</f>
        <v/>
      </c>
      <c r="AA56" s="26">
        <f>IF(AND($B56="Jalon",$F56&gt;=AA$5,$F56&lt;AA$5+7),"◆","")</f>
        <v/>
      </c>
      <c r="AB56" s="26">
        <f>IF(AND($B56="Jalon",$F56&gt;=AB$5,$F56&lt;AB$5+7),"◆","")</f>
        <v/>
      </c>
      <c r="AC56" s="26">
        <f>IF(AND($B56="Jalon",$F56&gt;=AC$5,$F56&lt;AC$5+7),"◆","")</f>
        <v/>
      </c>
      <c r="AD56" s="26">
        <f>IF(AND($B56="Jalon",$F56&gt;=AD$5,$F56&lt;AD$5+7),"◆","")</f>
        <v/>
      </c>
      <c r="AE56" s="26">
        <f>IF(AND($B56="Jalon",$F56&gt;=AE$5,$F56&lt;AE$5+7),"◆","")</f>
        <v/>
      </c>
      <c r="AF56" s="26">
        <f>IF(AND($B56="Jalon",$F56&gt;=AF$5,$F56&lt;AF$5+7),"◆","")</f>
        <v/>
      </c>
      <c r="AG56" s="26">
        <f>IF(AND($B56="Jalon",$F56&gt;=AG$5,$F56&lt;AG$5+7),"◆","")</f>
        <v/>
      </c>
      <c r="AH56" s="26">
        <f>IF(AND($B56="Jalon",$F56&gt;=AH$5,$F56&lt;AH$5+7),"◆","")</f>
        <v/>
      </c>
      <c r="AI56" s="26">
        <f>IF(AND($B56="Jalon",$F56&gt;=AI$5,$F56&lt;AI$5+7),"◆","")</f>
        <v/>
      </c>
    </row>
    <row r="57">
      <c r="B57" s="20" t="n"/>
      <c r="C57" s="20" t="n"/>
      <c r="D57" s="20" t="n"/>
      <c r="E57" s="22" t="n"/>
      <c r="F57" s="22" t="n"/>
      <c r="G57" s="23">
        <f>IF(OR(E57="",F57=""),"",NETWORKDAYS(E57,F57))</f>
        <v/>
      </c>
      <c r="H57" s="24" t="n"/>
      <c r="I57" s="25">
        <f>IF(C57="","",IF(B57="Phase","",IF(H57&gt;=1,"Terminé",IF(AND(F57&lt;&gt;"",TODAY()&gt;F57),"En retard",IF(AND(E57&lt;&gt;"",TODAY()&gt;=E57),"En cours","À venir")))))</f>
        <v/>
      </c>
      <c r="J57" s="26">
        <f>IF(AND($B57="Jalon",$F57&gt;=J$5,$F57&lt;J$5+7),"◆","")</f>
        <v/>
      </c>
      <c r="K57" s="26">
        <f>IF(AND($B57="Jalon",$F57&gt;=K$5,$F57&lt;K$5+7),"◆","")</f>
        <v/>
      </c>
      <c r="L57" s="26">
        <f>IF(AND($B57="Jalon",$F57&gt;=L$5,$F57&lt;L$5+7),"◆","")</f>
        <v/>
      </c>
      <c r="M57" s="26">
        <f>IF(AND($B57="Jalon",$F57&gt;=M$5,$F57&lt;M$5+7),"◆","")</f>
        <v/>
      </c>
      <c r="N57" s="26">
        <f>IF(AND($B57="Jalon",$F57&gt;=N$5,$F57&lt;N$5+7),"◆","")</f>
        <v/>
      </c>
      <c r="O57" s="26">
        <f>IF(AND($B57="Jalon",$F57&gt;=O$5,$F57&lt;O$5+7),"◆","")</f>
        <v/>
      </c>
      <c r="P57" s="26">
        <f>IF(AND($B57="Jalon",$F57&gt;=P$5,$F57&lt;P$5+7),"◆","")</f>
        <v/>
      </c>
      <c r="Q57" s="26">
        <f>IF(AND($B57="Jalon",$F57&gt;=Q$5,$F57&lt;Q$5+7),"◆","")</f>
        <v/>
      </c>
      <c r="R57" s="26">
        <f>IF(AND($B57="Jalon",$F57&gt;=R$5,$F57&lt;R$5+7),"◆","")</f>
        <v/>
      </c>
      <c r="S57" s="26">
        <f>IF(AND($B57="Jalon",$F57&gt;=S$5,$F57&lt;S$5+7),"◆","")</f>
        <v/>
      </c>
      <c r="T57" s="26">
        <f>IF(AND($B57="Jalon",$F57&gt;=T$5,$F57&lt;T$5+7),"◆","")</f>
        <v/>
      </c>
      <c r="U57" s="26">
        <f>IF(AND($B57="Jalon",$F57&gt;=U$5,$F57&lt;U$5+7),"◆","")</f>
        <v/>
      </c>
      <c r="V57" s="26">
        <f>IF(AND($B57="Jalon",$F57&gt;=V$5,$F57&lt;V$5+7),"◆","")</f>
        <v/>
      </c>
      <c r="W57" s="26">
        <f>IF(AND($B57="Jalon",$F57&gt;=W$5,$F57&lt;W$5+7),"◆","")</f>
        <v/>
      </c>
      <c r="X57" s="26">
        <f>IF(AND($B57="Jalon",$F57&gt;=X$5,$F57&lt;X$5+7),"◆","")</f>
        <v/>
      </c>
      <c r="Y57" s="26">
        <f>IF(AND($B57="Jalon",$F57&gt;=Y$5,$F57&lt;Y$5+7),"◆","")</f>
        <v/>
      </c>
      <c r="Z57" s="26">
        <f>IF(AND($B57="Jalon",$F57&gt;=Z$5,$F57&lt;Z$5+7),"◆","")</f>
        <v/>
      </c>
      <c r="AA57" s="26">
        <f>IF(AND($B57="Jalon",$F57&gt;=AA$5,$F57&lt;AA$5+7),"◆","")</f>
        <v/>
      </c>
      <c r="AB57" s="26">
        <f>IF(AND($B57="Jalon",$F57&gt;=AB$5,$F57&lt;AB$5+7),"◆","")</f>
        <v/>
      </c>
      <c r="AC57" s="26">
        <f>IF(AND($B57="Jalon",$F57&gt;=AC$5,$F57&lt;AC$5+7),"◆","")</f>
        <v/>
      </c>
      <c r="AD57" s="26">
        <f>IF(AND($B57="Jalon",$F57&gt;=AD$5,$F57&lt;AD$5+7),"◆","")</f>
        <v/>
      </c>
      <c r="AE57" s="26">
        <f>IF(AND($B57="Jalon",$F57&gt;=AE$5,$F57&lt;AE$5+7),"◆","")</f>
        <v/>
      </c>
      <c r="AF57" s="26">
        <f>IF(AND($B57="Jalon",$F57&gt;=AF$5,$F57&lt;AF$5+7),"◆","")</f>
        <v/>
      </c>
      <c r="AG57" s="26">
        <f>IF(AND($B57="Jalon",$F57&gt;=AG$5,$F57&lt;AG$5+7),"◆","")</f>
        <v/>
      </c>
      <c r="AH57" s="26">
        <f>IF(AND($B57="Jalon",$F57&gt;=AH$5,$F57&lt;AH$5+7),"◆","")</f>
        <v/>
      </c>
      <c r="AI57" s="26">
        <f>IF(AND($B57="Jalon",$F57&gt;=AI$5,$F57&lt;AI$5+7),"◆","")</f>
        <v/>
      </c>
    </row>
    <row r="58">
      <c r="B58" s="20" t="n"/>
      <c r="C58" s="20" t="n"/>
      <c r="D58" s="20" t="n"/>
      <c r="E58" s="22" t="n"/>
      <c r="F58" s="22" t="n"/>
      <c r="G58" s="23">
        <f>IF(OR(E58="",F58=""),"",NETWORKDAYS(E58,F58))</f>
        <v/>
      </c>
      <c r="H58" s="24" t="n"/>
      <c r="I58" s="25">
        <f>IF(C58="","",IF(B58="Phase","",IF(H58&gt;=1,"Terminé",IF(AND(F58&lt;&gt;"",TODAY()&gt;F58),"En retard",IF(AND(E58&lt;&gt;"",TODAY()&gt;=E58),"En cours","À venir")))))</f>
        <v/>
      </c>
      <c r="J58" s="26">
        <f>IF(AND($B58="Jalon",$F58&gt;=J$5,$F58&lt;J$5+7),"◆","")</f>
        <v/>
      </c>
      <c r="K58" s="26">
        <f>IF(AND($B58="Jalon",$F58&gt;=K$5,$F58&lt;K$5+7),"◆","")</f>
        <v/>
      </c>
      <c r="L58" s="26">
        <f>IF(AND($B58="Jalon",$F58&gt;=L$5,$F58&lt;L$5+7),"◆","")</f>
        <v/>
      </c>
      <c r="M58" s="26">
        <f>IF(AND($B58="Jalon",$F58&gt;=M$5,$F58&lt;M$5+7),"◆","")</f>
        <v/>
      </c>
      <c r="N58" s="26">
        <f>IF(AND($B58="Jalon",$F58&gt;=N$5,$F58&lt;N$5+7),"◆","")</f>
        <v/>
      </c>
      <c r="O58" s="26">
        <f>IF(AND($B58="Jalon",$F58&gt;=O$5,$F58&lt;O$5+7),"◆","")</f>
        <v/>
      </c>
      <c r="P58" s="26">
        <f>IF(AND($B58="Jalon",$F58&gt;=P$5,$F58&lt;P$5+7),"◆","")</f>
        <v/>
      </c>
      <c r="Q58" s="26">
        <f>IF(AND($B58="Jalon",$F58&gt;=Q$5,$F58&lt;Q$5+7),"◆","")</f>
        <v/>
      </c>
      <c r="R58" s="26">
        <f>IF(AND($B58="Jalon",$F58&gt;=R$5,$F58&lt;R$5+7),"◆","")</f>
        <v/>
      </c>
      <c r="S58" s="26">
        <f>IF(AND($B58="Jalon",$F58&gt;=S$5,$F58&lt;S$5+7),"◆","")</f>
        <v/>
      </c>
      <c r="T58" s="26">
        <f>IF(AND($B58="Jalon",$F58&gt;=T$5,$F58&lt;T$5+7),"◆","")</f>
        <v/>
      </c>
      <c r="U58" s="26">
        <f>IF(AND($B58="Jalon",$F58&gt;=U$5,$F58&lt;U$5+7),"◆","")</f>
        <v/>
      </c>
      <c r="V58" s="26">
        <f>IF(AND($B58="Jalon",$F58&gt;=V$5,$F58&lt;V$5+7),"◆","")</f>
        <v/>
      </c>
      <c r="W58" s="26">
        <f>IF(AND($B58="Jalon",$F58&gt;=W$5,$F58&lt;W$5+7),"◆","")</f>
        <v/>
      </c>
      <c r="X58" s="26">
        <f>IF(AND($B58="Jalon",$F58&gt;=X$5,$F58&lt;X$5+7),"◆","")</f>
        <v/>
      </c>
      <c r="Y58" s="26">
        <f>IF(AND($B58="Jalon",$F58&gt;=Y$5,$F58&lt;Y$5+7),"◆","")</f>
        <v/>
      </c>
      <c r="Z58" s="26">
        <f>IF(AND($B58="Jalon",$F58&gt;=Z$5,$F58&lt;Z$5+7),"◆","")</f>
        <v/>
      </c>
      <c r="AA58" s="26">
        <f>IF(AND($B58="Jalon",$F58&gt;=AA$5,$F58&lt;AA$5+7),"◆","")</f>
        <v/>
      </c>
      <c r="AB58" s="26">
        <f>IF(AND($B58="Jalon",$F58&gt;=AB$5,$F58&lt;AB$5+7),"◆","")</f>
        <v/>
      </c>
      <c r="AC58" s="26">
        <f>IF(AND($B58="Jalon",$F58&gt;=AC$5,$F58&lt;AC$5+7),"◆","")</f>
        <v/>
      </c>
      <c r="AD58" s="26">
        <f>IF(AND($B58="Jalon",$F58&gt;=AD$5,$F58&lt;AD$5+7),"◆","")</f>
        <v/>
      </c>
      <c r="AE58" s="26">
        <f>IF(AND($B58="Jalon",$F58&gt;=AE$5,$F58&lt;AE$5+7),"◆","")</f>
        <v/>
      </c>
      <c r="AF58" s="26">
        <f>IF(AND($B58="Jalon",$F58&gt;=AF$5,$F58&lt;AF$5+7),"◆","")</f>
        <v/>
      </c>
      <c r="AG58" s="26">
        <f>IF(AND($B58="Jalon",$F58&gt;=AG$5,$F58&lt;AG$5+7),"◆","")</f>
        <v/>
      </c>
      <c r="AH58" s="26">
        <f>IF(AND($B58="Jalon",$F58&gt;=AH$5,$F58&lt;AH$5+7),"◆","")</f>
        <v/>
      </c>
      <c r="AI58" s="26">
        <f>IF(AND($B58="Jalon",$F58&gt;=AI$5,$F58&lt;AI$5+7),"◆","")</f>
        <v/>
      </c>
    </row>
    <row r="59">
      <c r="B59" s="20" t="n"/>
      <c r="C59" s="20" t="n"/>
      <c r="D59" s="20" t="n"/>
      <c r="E59" s="22" t="n"/>
      <c r="F59" s="22" t="n"/>
      <c r="G59" s="23">
        <f>IF(OR(E59="",F59=""),"",NETWORKDAYS(E59,F59))</f>
        <v/>
      </c>
      <c r="H59" s="24" t="n"/>
      <c r="I59" s="25">
        <f>IF(C59="","",IF(B59="Phase","",IF(H59&gt;=1,"Terminé",IF(AND(F59&lt;&gt;"",TODAY()&gt;F59),"En retard",IF(AND(E59&lt;&gt;"",TODAY()&gt;=E59),"En cours","À venir")))))</f>
        <v/>
      </c>
      <c r="J59" s="26">
        <f>IF(AND($B59="Jalon",$F59&gt;=J$5,$F59&lt;J$5+7),"◆","")</f>
        <v/>
      </c>
      <c r="K59" s="26">
        <f>IF(AND($B59="Jalon",$F59&gt;=K$5,$F59&lt;K$5+7),"◆","")</f>
        <v/>
      </c>
      <c r="L59" s="26">
        <f>IF(AND($B59="Jalon",$F59&gt;=L$5,$F59&lt;L$5+7),"◆","")</f>
        <v/>
      </c>
      <c r="M59" s="26">
        <f>IF(AND($B59="Jalon",$F59&gt;=M$5,$F59&lt;M$5+7),"◆","")</f>
        <v/>
      </c>
      <c r="N59" s="26">
        <f>IF(AND($B59="Jalon",$F59&gt;=N$5,$F59&lt;N$5+7),"◆","")</f>
        <v/>
      </c>
      <c r="O59" s="26">
        <f>IF(AND($B59="Jalon",$F59&gt;=O$5,$F59&lt;O$5+7),"◆","")</f>
        <v/>
      </c>
      <c r="P59" s="26">
        <f>IF(AND($B59="Jalon",$F59&gt;=P$5,$F59&lt;P$5+7),"◆","")</f>
        <v/>
      </c>
      <c r="Q59" s="26">
        <f>IF(AND($B59="Jalon",$F59&gt;=Q$5,$F59&lt;Q$5+7),"◆","")</f>
        <v/>
      </c>
      <c r="R59" s="26">
        <f>IF(AND($B59="Jalon",$F59&gt;=R$5,$F59&lt;R$5+7),"◆","")</f>
        <v/>
      </c>
      <c r="S59" s="26">
        <f>IF(AND($B59="Jalon",$F59&gt;=S$5,$F59&lt;S$5+7),"◆","")</f>
        <v/>
      </c>
      <c r="T59" s="26">
        <f>IF(AND($B59="Jalon",$F59&gt;=T$5,$F59&lt;T$5+7),"◆","")</f>
        <v/>
      </c>
      <c r="U59" s="26">
        <f>IF(AND($B59="Jalon",$F59&gt;=U$5,$F59&lt;U$5+7),"◆","")</f>
        <v/>
      </c>
      <c r="V59" s="26">
        <f>IF(AND($B59="Jalon",$F59&gt;=V$5,$F59&lt;V$5+7),"◆","")</f>
        <v/>
      </c>
      <c r="W59" s="26">
        <f>IF(AND($B59="Jalon",$F59&gt;=W$5,$F59&lt;W$5+7),"◆","")</f>
        <v/>
      </c>
      <c r="X59" s="26">
        <f>IF(AND($B59="Jalon",$F59&gt;=X$5,$F59&lt;X$5+7),"◆","")</f>
        <v/>
      </c>
      <c r="Y59" s="26">
        <f>IF(AND($B59="Jalon",$F59&gt;=Y$5,$F59&lt;Y$5+7),"◆","")</f>
        <v/>
      </c>
      <c r="Z59" s="26">
        <f>IF(AND($B59="Jalon",$F59&gt;=Z$5,$F59&lt;Z$5+7),"◆","")</f>
        <v/>
      </c>
      <c r="AA59" s="26">
        <f>IF(AND($B59="Jalon",$F59&gt;=AA$5,$F59&lt;AA$5+7),"◆","")</f>
        <v/>
      </c>
      <c r="AB59" s="26">
        <f>IF(AND($B59="Jalon",$F59&gt;=AB$5,$F59&lt;AB$5+7),"◆","")</f>
        <v/>
      </c>
      <c r="AC59" s="26">
        <f>IF(AND($B59="Jalon",$F59&gt;=AC$5,$F59&lt;AC$5+7),"◆","")</f>
        <v/>
      </c>
      <c r="AD59" s="26">
        <f>IF(AND($B59="Jalon",$F59&gt;=AD$5,$F59&lt;AD$5+7),"◆","")</f>
        <v/>
      </c>
      <c r="AE59" s="26">
        <f>IF(AND($B59="Jalon",$F59&gt;=AE$5,$F59&lt;AE$5+7),"◆","")</f>
        <v/>
      </c>
      <c r="AF59" s="26">
        <f>IF(AND($B59="Jalon",$F59&gt;=AF$5,$F59&lt;AF$5+7),"◆","")</f>
        <v/>
      </c>
      <c r="AG59" s="26">
        <f>IF(AND($B59="Jalon",$F59&gt;=AG$5,$F59&lt;AG$5+7),"◆","")</f>
        <v/>
      </c>
      <c r="AH59" s="26">
        <f>IF(AND($B59="Jalon",$F59&gt;=AH$5,$F59&lt;AH$5+7),"◆","")</f>
        <v/>
      </c>
      <c r="AI59" s="26">
        <f>IF(AND($B59="Jalon",$F59&gt;=AI$5,$F59&lt;AI$5+7),"◆","")</f>
        <v/>
      </c>
    </row>
    <row r="60">
      <c r="B60" s="20" t="n"/>
      <c r="C60" s="20" t="n"/>
      <c r="D60" s="20" t="n"/>
      <c r="E60" s="22" t="n"/>
      <c r="F60" s="22" t="n"/>
      <c r="G60" s="23">
        <f>IF(OR(E60="",F60=""),"",NETWORKDAYS(E60,F60))</f>
        <v/>
      </c>
      <c r="H60" s="24" t="n"/>
      <c r="I60" s="25">
        <f>IF(C60="","",IF(B60="Phase","",IF(H60&gt;=1,"Terminé",IF(AND(F60&lt;&gt;"",TODAY()&gt;F60),"En retard",IF(AND(E60&lt;&gt;"",TODAY()&gt;=E60),"En cours","À venir")))))</f>
        <v/>
      </c>
      <c r="J60" s="26">
        <f>IF(AND($B60="Jalon",$F60&gt;=J$5,$F60&lt;J$5+7),"◆","")</f>
        <v/>
      </c>
      <c r="K60" s="26">
        <f>IF(AND($B60="Jalon",$F60&gt;=K$5,$F60&lt;K$5+7),"◆","")</f>
        <v/>
      </c>
      <c r="L60" s="26">
        <f>IF(AND($B60="Jalon",$F60&gt;=L$5,$F60&lt;L$5+7),"◆","")</f>
        <v/>
      </c>
      <c r="M60" s="26">
        <f>IF(AND($B60="Jalon",$F60&gt;=M$5,$F60&lt;M$5+7),"◆","")</f>
        <v/>
      </c>
      <c r="N60" s="26">
        <f>IF(AND($B60="Jalon",$F60&gt;=N$5,$F60&lt;N$5+7),"◆","")</f>
        <v/>
      </c>
      <c r="O60" s="26">
        <f>IF(AND($B60="Jalon",$F60&gt;=O$5,$F60&lt;O$5+7),"◆","")</f>
        <v/>
      </c>
      <c r="P60" s="26">
        <f>IF(AND($B60="Jalon",$F60&gt;=P$5,$F60&lt;P$5+7),"◆","")</f>
        <v/>
      </c>
      <c r="Q60" s="26">
        <f>IF(AND($B60="Jalon",$F60&gt;=Q$5,$F60&lt;Q$5+7),"◆","")</f>
        <v/>
      </c>
      <c r="R60" s="26">
        <f>IF(AND($B60="Jalon",$F60&gt;=R$5,$F60&lt;R$5+7),"◆","")</f>
        <v/>
      </c>
      <c r="S60" s="26">
        <f>IF(AND($B60="Jalon",$F60&gt;=S$5,$F60&lt;S$5+7),"◆","")</f>
        <v/>
      </c>
      <c r="T60" s="26">
        <f>IF(AND($B60="Jalon",$F60&gt;=T$5,$F60&lt;T$5+7),"◆","")</f>
        <v/>
      </c>
      <c r="U60" s="26">
        <f>IF(AND($B60="Jalon",$F60&gt;=U$5,$F60&lt;U$5+7),"◆","")</f>
        <v/>
      </c>
      <c r="V60" s="26">
        <f>IF(AND($B60="Jalon",$F60&gt;=V$5,$F60&lt;V$5+7),"◆","")</f>
        <v/>
      </c>
      <c r="W60" s="26">
        <f>IF(AND($B60="Jalon",$F60&gt;=W$5,$F60&lt;W$5+7),"◆","")</f>
        <v/>
      </c>
      <c r="X60" s="26">
        <f>IF(AND($B60="Jalon",$F60&gt;=X$5,$F60&lt;X$5+7),"◆","")</f>
        <v/>
      </c>
      <c r="Y60" s="26">
        <f>IF(AND($B60="Jalon",$F60&gt;=Y$5,$F60&lt;Y$5+7),"◆","")</f>
        <v/>
      </c>
      <c r="Z60" s="26">
        <f>IF(AND($B60="Jalon",$F60&gt;=Z$5,$F60&lt;Z$5+7),"◆","")</f>
        <v/>
      </c>
      <c r="AA60" s="26">
        <f>IF(AND($B60="Jalon",$F60&gt;=AA$5,$F60&lt;AA$5+7),"◆","")</f>
        <v/>
      </c>
      <c r="AB60" s="26">
        <f>IF(AND($B60="Jalon",$F60&gt;=AB$5,$F60&lt;AB$5+7),"◆","")</f>
        <v/>
      </c>
      <c r="AC60" s="26">
        <f>IF(AND($B60="Jalon",$F60&gt;=AC$5,$F60&lt;AC$5+7),"◆","")</f>
        <v/>
      </c>
      <c r="AD60" s="26">
        <f>IF(AND($B60="Jalon",$F60&gt;=AD$5,$F60&lt;AD$5+7),"◆","")</f>
        <v/>
      </c>
      <c r="AE60" s="26">
        <f>IF(AND($B60="Jalon",$F60&gt;=AE$5,$F60&lt;AE$5+7),"◆","")</f>
        <v/>
      </c>
      <c r="AF60" s="26">
        <f>IF(AND($B60="Jalon",$F60&gt;=AF$5,$F60&lt;AF$5+7),"◆","")</f>
        <v/>
      </c>
      <c r="AG60" s="26">
        <f>IF(AND($B60="Jalon",$F60&gt;=AG$5,$F60&lt;AG$5+7),"◆","")</f>
        <v/>
      </c>
      <c r="AH60" s="26">
        <f>IF(AND($B60="Jalon",$F60&gt;=AH$5,$F60&lt;AH$5+7),"◆","")</f>
        <v/>
      </c>
      <c r="AI60" s="26">
        <f>IF(AND($B60="Jalon",$F60&gt;=AI$5,$F60&lt;AI$5+7),"◆","")</f>
        <v/>
      </c>
    </row>
    <row r="61">
      <c r="B61" s="20" t="n"/>
      <c r="C61" s="20" t="n"/>
      <c r="D61" s="20" t="n"/>
      <c r="E61" s="22" t="n"/>
      <c r="F61" s="22" t="n"/>
      <c r="G61" s="23">
        <f>IF(OR(E61="",F61=""),"",NETWORKDAYS(E61,F61))</f>
        <v/>
      </c>
      <c r="H61" s="24" t="n"/>
      <c r="I61" s="25">
        <f>IF(C61="","",IF(B61="Phase","",IF(H61&gt;=1,"Terminé",IF(AND(F61&lt;&gt;"",TODAY()&gt;F61),"En retard",IF(AND(E61&lt;&gt;"",TODAY()&gt;=E61),"En cours","À venir")))))</f>
        <v/>
      </c>
      <c r="J61" s="26">
        <f>IF(AND($B61="Jalon",$F61&gt;=J$5,$F61&lt;J$5+7),"◆","")</f>
        <v/>
      </c>
      <c r="K61" s="26">
        <f>IF(AND($B61="Jalon",$F61&gt;=K$5,$F61&lt;K$5+7),"◆","")</f>
        <v/>
      </c>
      <c r="L61" s="26">
        <f>IF(AND($B61="Jalon",$F61&gt;=L$5,$F61&lt;L$5+7),"◆","")</f>
        <v/>
      </c>
      <c r="M61" s="26">
        <f>IF(AND($B61="Jalon",$F61&gt;=M$5,$F61&lt;M$5+7),"◆","")</f>
        <v/>
      </c>
      <c r="N61" s="26">
        <f>IF(AND($B61="Jalon",$F61&gt;=N$5,$F61&lt;N$5+7),"◆","")</f>
        <v/>
      </c>
      <c r="O61" s="26">
        <f>IF(AND($B61="Jalon",$F61&gt;=O$5,$F61&lt;O$5+7),"◆","")</f>
        <v/>
      </c>
      <c r="P61" s="26">
        <f>IF(AND($B61="Jalon",$F61&gt;=P$5,$F61&lt;P$5+7),"◆","")</f>
        <v/>
      </c>
      <c r="Q61" s="26">
        <f>IF(AND($B61="Jalon",$F61&gt;=Q$5,$F61&lt;Q$5+7),"◆","")</f>
        <v/>
      </c>
      <c r="R61" s="26">
        <f>IF(AND($B61="Jalon",$F61&gt;=R$5,$F61&lt;R$5+7),"◆","")</f>
        <v/>
      </c>
      <c r="S61" s="26">
        <f>IF(AND($B61="Jalon",$F61&gt;=S$5,$F61&lt;S$5+7),"◆","")</f>
        <v/>
      </c>
      <c r="T61" s="26">
        <f>IF(AND($B61="Jalon",$F61&gt;=T$5,$F61&lt;T$5+7),"◆","")</f>
        <v/>
      </c>
      <c r="U61" s="26">
        <f>IF(AND($B61="Jalon",$F61&gt;=U$5,$F61&lt;U$5+7),"◆","")</f>
        <v/>
      </c>
      <c r="V61" s="26">
        <f>IF(AND($B61="Jalon",$F61&gt;=V$5,$F61&lt;V$5+7),"◆","")</f>
        <v/>
      </c>
      <c r="W61" s="26">
        <f>IF(AND($B61="Jalon",$F61&gt;=W$5,$F61&lt;W$5+7),"◆","")</f>
        <v/>
      </c>
      <c r="X61" s="26">
        <f>IF(AND($B61="Jalon",$F61&gt;=X$5,$F61&lt;X$5+7),"◆","")</f>
        <v/>
      </c>
      <c r="Y61" s="26">
        <f>IF(AND($B61="Jalon",$F61&gt;=Y$5,$F61&lt;Y$5+7),"◆","")</f>
        <v/>
      </c>
      <c r="Z61" s="26">
        <f>IF(AND($B61="Jalon",$F61&gt;=Z$5,$F61&lt;Z$5+7),"◆","")</f>
        <v/>
      </c>
      <c r="AA61" s="26">
        <f>IF(AND($B61="Jalon",$F61&gt;=AA$5,$F61&lt;AA$5+7),"◆","")</f>
        <v/>
      </c>
      <c r="AB61" s="26">
        <f>IF(AND($B61="Jalon",$F61&gt;=AB$5,$F61&lt;AB$5+7),"◆","")</f>
        <v/>
      </c>
      <c r="AC61" s="26">
        <f>IF(AND($B61="Jalon",$F61&gt;=AC$5,$F61&lt;AC$5+7),"◆","")</f>
        <v/>
      </c>
      <c r="AD61" s="26">
        <f>IF(AND($B61="Jalon",$F61&gt;=AD$5,$F61&lt;AD$5+7),"◆","")</f>
        <v/>
      </c>
      <c r="AE61" s="26">
        <f>IF(AND($B61="Jalon",$F61&gt;=AE$5,$F61&lt;AE$5+7),"◆","")</f>
        <v/>
      </c>
      <c r="AF61" s="26">
        <f>IF(AND($B61="Jalon",$F61&gt;=AF$5,$F61&lt;AF$5+7),"◆","")</f>
        <v/>
      </c>
      <c r="AG61" s="26">
        <f>IF(AND($B61="Jalon",$F61&gt;=AG$5,$F61&lt;AG$5+7),"◆","")</f>
        <v/>
      </c>
      <c r="AH61" s="26">
        <f>IF(AND($B61="Jalon",$F61&gt;=AH$5,$F61&lt;AH$5+7),"◆","")</f>
        <v/>
      </c>
      <c r="AI61" s="26">
        <f>IF(AND($B61="Jalon",$F61&gt;=AI$5,$F61&lt;AI$5+7),"◆","")</f>
        <v/>
      </c>
    </row>
    <row r="62">
      <c r="B62" s="20" t="n"/>
      <c r="C62" s="20" t="n"/>
      <c r="D62" s="20" t="n"/>
      <c r="E62" s="22" t="n"/>
      <c r="F62" s="22" t="n"/>
      <c r="G62" s="23">
        <f>IF(OR(E62="",F62=""),"",NETWORKDAYS(E62,F62))</f>
        <v/>
      </c>
      <c r="H62" s="24" t="n"/>
      <c r="I62" s="25">
        <f>IF(C62="","",IF(B62="Phase","",IF(H62&gt;=1,"Terminé",IF(AND(F62&lt;&gt;"",TODAY()&gt;F62),"En retard",IF(AND(E62&lt;&gt;"",TODAY()&gt;=E62),"En cours","À venir")))))</f>
        <v/>
      </c>
      <c r="J62" s="26">
        <f>IF(AND($B62="Jalon",$F62&gt;=J$5,$F62&lt;J$5+7),"◆","")</f>
        <v/>
      </c>
      <c r="K62" s="26">
        <f>IF(AND($B62="Jalon",$F62&gt;=K$5,$F62&lt;K$5+7),"◆","")</f>
        <v/>
      </c>
      <c r="L62" s="26">
        <f>IF(AND($B62="Jalon",$F62&gt;=L$5,$F62&lt;L$5+7),"◆","")</f>
        <v/>
      </c>
      <c r="M62" s="26">
        <f>IF(AND($B62="Jalon",$F62&gt;=M$5,$F62&lt;M$5+7),"◆","")</f>
        <v/>
      </c>
      <c r="N62" s="26">
        <f>IF(AND($B62="Jalon",$F62&gt;=N$5,$F62&lt;N$5+7),"◆","")</f>
        <v/>
      </c>
      <c r="O62" s="26">
        <f>IF(AND($B62="Jalon",$F62&gt;=O$5,$F62&lt;O$5+7),"◆","")</f>
        <v/>
      </c>
      <c r="P62" s="26">
        <f>IF(AND($B62="Jalon",$F62&gt;=P$5,$F62&lt;P$5+7),"◆","")</f>
        <v/>
      </c>
      <c r="Q62" s="26">
        <f>IF(AND($B62="Jalon",$F62&gt;=Q$5,$F62&lt;Q$5+7),"◆","")</f>
        <v/>
      </c>
      <c r="R62" s="26">
        <f>IF(AND($B62="Jalon",$F62&gt;=R$5,$F62&lt;R$5+7),"◆","")</f>
        <v/>
      </c>
      <c r="S62" s="26">
        <f>IF(AND($B62="Jalon",$F62&gt;=S$5,$F62&lt;S$5+7),"◆","")</f>
        <v/>
      </c>
      <c r="T62" s="26">
        <f>IF(AND($B62="Jalon",$F62&gt;=T$5,$F62&lt;T$5+7),"◆","")</f>
        <v/>
      </c>
      <c r="U62" s="26">
        <f>IF(AND($B62="Jalon",$F62&gt;=U$5,$F62&lt;U$5+7),"◆","")</f>
        <v/>
      </c>
      <c r="V62" s="26">
        <f>IF(AND($B62="Jalon",$F62&gt;=V$5,$F62&lt;V$5+7),"◆","")</f>
        <v/>
      </c>
      <c r="W62" s="26">
        <f>IF(AND($B62="Jalon",$F62&gt;=W$5,$F62&lt;W$5+7),"◆","")</f>
        <v/>
      </c>
      <c r="X62" s="26">
        <f>IF(AND($B62="Jalon",$F62&gt;=X$5,$F62&lt;X$5+7),"◆","")</f>
        <v/>
      </c>
      <c r="Y62" s="26">
        <f>IF(AND($B62="Jalon",$F62&gt;=Y$5,$F62&lt;Y$5+7),"◆","")</f>
        <v/>
      </c>
      <c r="Z62" s="26">
        <f>IF(AND($B62="Jalon",$F62&gt;=Z$5,$F62&lt;Z$5+7),"◆","")</f>
        <v/>
      </c>
      <c r="AA62" s="26">
        <f>IF(AND($B62="Jalon",$F62&gt;=AA$5,$F62&lt;AA$5+7),"◆","")</f>
        <v/>
      </c>
      <c r="AB62" s="26">
        <f>IF(AND($B62="Jalon",$F62&gt;=AB$5,$F62&lt;AB$5+7),"◆","")</f>
        <v/>
      </c>
      <c r="AC62" s="26">
        <f>IF(AND($B62="Jalon",$F62&gt;=AC$5,$F62&lt;AC$5+7),"◆","")</f>
        <v/>
      </c>
      <c r="AD62" s="26">
        <f>IF(AND($B62="Jalon",$F62&gt;=AD$5,$F62&lt;AD$5+7),"◆","")</f>
        <v/>
      </c>
      <c r="AE62" s="26">
        <f>IF(AND($B62="Jalon",$F62&gt;=AE$5,$F62&lt;AE$5+7),"◆","")</f>
        <v/>
      </c>
      <c r="AF62" s="26">
        <f>IF(AND($B62="Jalon",$F62&gt;=AF$5,$F62&lt;AF$5+7),"◆","")</f>
        <v/>
      </c>
      <c r="AG62" s="26">
        <f>IF(AND($B62="Jalon",$F62&gt;=AG$5,$F62&lt;AG$5+7),"◆","")</f>
        <v/>
      </c>
      <c r="AH62" s="26">
        <f>IF(AND($B62="Jalon",$F62&gt;=AH$5,$F62&lt;AH$5+7),"◆","")</f>
        <v/>
      </c>
      <c r="AI62" s="26">
        <f>IF(AND($B62="Jalon",$F62&gt;=AI$5,$F62&lt;AI$5+7),"◆","")</f>
        <v/>
      </c>
    </row>
    <row r="63">
      <c r="B63" s="20" t="n"/>
      <c r="C63" s="20" t="n"/>
      <c r="D63" s="20" t="n"/>
      <c r="E63" s="22" t="n"/>
      <c r="F63" s="22" t="n"/>
      <c r="G63" s="23">
        <f>IF(OR(E63="",F63=""),"",NETWORKDAYS(E63,F63))</f>
        <v/>
      </c>
      <c r="H63" s="24" t="n"/>
      <c r="I63" s="25">
        <f>IF(C63="","",IF(B63="Phase","",IF(H63&gt;=1,"Terminé",IF(AND(F63&lt;&gt;"",TODAY()&gt;F63),"En retard",IF(AND(E63&lt;&gt;"",TODAY()&gt;=E63),"En cours","À venir")))))</f>
        <v/>
      </c>
      <c r="J63" s="26">
        <f>IF(AND($B63="Jalon",$F63&gt;=J$5,$F63&lt;J$5+7),"◆","")</f>
        <v/>
      </c>
      <c r="K63" s="26">
        <f>IF(AND($B63="Jalon",$F63&gt;=K$5,$F63&lt;K$5+7),"◆","")</f>
        <v/>
      </c>
      <c r="L63" s="26">
        <f>IF(AND($B63="Jalon",$F63&gt;=L$5,$F63&lt;L$5+7),"◆","")</f>
        <v/>
      </c>
      <c r="M63" s="26">
        <f>IF(AND($B63="Jalon",$F63&gt;=M$5,$F63&lt;M$5+7),"◆","")</f>
        <v/>
      </c>
      <c r="N63" s="26">
        <f>IF(AND($B63="Jalon",$F63&gt;=N$5,$F63&lt;N$5+7),"◆","")</f>
        <v/>
      </c>
      <c r="O63" s="26">
        <f>IF(AND($B63="Jalon",$F63&gt;=O$5,$F63&lt;O$5+7),"◆","")</f>
        <v/>
      </c>
      <c r="P63" s="26">
        <f>IF(AND($B63="Jalon",$F63&gt;=P$5,$F63&lt;P$5+7),"◆","")</f>
        <v/>
      </c>
      <c r="Q63" s="26">
        <f>IF(AND($B63="Jalon",$F63&gt;=Q$5,$F63&lt;Q$5+7),"◆","")</f>
        <v/>
      </c>
      <c r="R63" s="26">
        <f>IF(AND($B63="Jalon",$F63&gt;=R$5,$F63&lt;R$5+7),"◆","")</f>
        <v/>
      </c>
      <c r="S63" s="26">
        <f>IF(AND($B63="Jalon",$F63&gt;=S$5,$F63&lt;S$5+7),"◆","")</f>
        <v/>
      </c>
      <c r="T63" s="26">
        <f>IF(AND($B63="Jalon",$F63&gt;=T$5,$F63&lt;T$5+7),"◆","")</f>
        <v/>
      </c>
      <c r="U63" s="26">
        <f>IF(AND($B63="Jalon",$F63&gt;=U$5,$F63&lt;U$5+7),"◆","")</f>
        <v/>
      </c>
      <c r="V63" s="26">
        <f>IF(AND($B63="Jalon",$F63&gt;=V$5,$F63&lt;V$5+7),"◆","")</f>
        <v/>
      </c>
      <c r="W63" s="26">
        <f>IF(AND($B63="Jalon",$F63&gt;=W$5,$F63&lt;W$5+7),"◆","")</f>
        <v/>
      </c>
      <c r="X63" s="26">
        <f>IF(AND($B63="Jalon",$F63&gt;=X$5,$F63&lt;X$5+7),"◆","")</f>
        <v/>
      </c>
      <c r="Y63" s="26">
        <f>IF(AND($B63="Jalon",$F63&gt;=Y$5,$F63&lt;Y$5+7),"◆","")</f>
        <v/>
      </c>
      <c r="Z63" s="26">
        <f>IF(AND($B63="Jalon",$F63&gt;=Z$5,$F63&lt;Z$5+7),"◆","")</f>
        <v/>
      </c>
      <c r="AA63" s="26">
        <f>IF(AND($B63="Jalon",$F63&gt;=AA$5,$F63&lt;AA$5+7),"◆","")</f>
        <v/>
      </c>
      <c r="AB63" s="26">
        <f>IF(AND($B63="Jalon",$F63&gt;=AB$5,$F63&lt;AB$5+7),"◆","")</f>
        <v/>
      </c>
      <c r="AC63" s="26">
        <f>IF(AND($B63="Jalon",$F63&gt;=AC$5,$F63&lt;AC$5+7),"◆","")</f>
        <v/>
      </c>
      <c r="AD63" s="26">
        <f>IF(AND($B63="Jalon",$F63&gt;=AD$5,$F63&lt;AD$5+7),"◆","")</f>
        <v/>
      </c>
      <c r="AE63" s="26">
        <f>IF(AND($B63="Jalon",$F63&gt;=AE$5,$F63&lt;AE$5+7),"◆","")</f>
        <v/>
      </c>
      <c r="AF63" s="26">
        <f>IF(AND($B63="Jalon",$F63&gt;=AF$5,$F63&lt;AF$5+7),"◆","")</f>
        <v/>
      </c>
      <c r="AG63" s="26">
        <f>IF(AND($B63="Jalon",$F63&gt;=AG$5,$F63&lt;AG$5+7),"◆","")</f>
        <v/>
      </c>
      <c r="AH63" s="26">
        <f>IF(AND($B63="Jalon",$F63&gt;=AH$5,$F63&lt;AH$5+7),"◆","")</f>
        <v/>
      </c>
      <c r="AI63" s="26">
        <f>IF(AND($B63="Jalon",$F63&gt;=AI$5,$F63&lt;AI$5+7),"◆","")</f>
        <v/>
      </c>
    </row>
    <row r="64">
      <c r="B64" s="20" t="n"/>
      <c r="C64" s="20" t="n"/>
      <c r="D64" s="20" t="n"/>
      <c r="E64" s="22" t="n"/>
      <c r="F64" s="22" t="n"/>
      <c r="G64" s="23">
        <f>IF(OR(E64="",F64=""),"",NETWORKDAYS(E64,F64))</f>
        <v/>
      </c>
      <c r="H64" s="24" t="n"/>
      <c r="I64" s="25">
        <f>IF(C64="","",IF(B64="Phase","",IF(H64&gt;=1,"Terminé",IF(AND(F64&lt;&gt;"",TODAY()&gt;F64),"En retard",IF(AND(E64&lt;&gt;"",TODAY()&gt;=E64),"En cours","À venir")))))</f>
        <v/>
      </c>
      <c r="J64" s="26">
        <f>IF(AND($B64="Jalon",$F64&gt;=J$5,$F64&lt;J$5+7),"◆","")</f>
        <v/>
      </c>
      <c r="K64" s="26">
        <f>IF(AND($B64="Jalon",$F64&gt;=K$5,$F64&lt;K$5+7),"◆","")</f>
        <v/>
      </c>
      <c r="L64" s="26">
        <f>IF(AND($B64="Jalon",$F64&gt;=L$5,$F64&lt;L$5+7),"◆","")</f>
        <v/>
      </c>
      <c r="M64" s="26">
        <f>IF(AND($B64="Jalon",$F64&gt;=M$5,$F64&lt;M$5+7),"◆","")</f>
        <v/>
      </c>
      <c r="N64" s="26">
        <f>IF(AND($B64="Jalon",$F64&gt;=N$5,$F64&lt;N$5+7),"◆","")</f>
        <v/>
      </c>
      <c r="O64" s="26">
        <f>IF(AND($B64="Jalon",$F64&gt;=O$5,$F64&lt;O$5+7),"◆","")</f>
        <v/>
      </c>
      <c r="P64" s="26">
        <f>IF(AND($B64="Jalon",$F64&gt;=P$5,$F64&lt;P$5+7),"◆","")</f>
        <v/>
      </c>
      <c r="Q64" s="26">
        <f>IF(AND($B64="Jalon",$F64&gt;=Q$5,$F64&lt;Q$5+7),"◆","")</f>
        <v/>
      </c>
      <c r="R64" s="26">
        <f>IF(AND($B64="Jalon",$F64&gt;=R$5,$F64&lt;R$5+7),"◆","")</f>
        <v/>
      </c>
      <c r="S64" s="26">
        <f>IF(AND($B64="Jalon",$F64&gt;=S$5,$F64&lt;S$5+7),"◆","")</f>
        <v/>
      </c>
      <c r="T64" s="26">
        <f>IF(AND($B64="Jalon",$F64&gt;=T$5,$F64&lt;T$5+7),"◆","")</f>
        <v/>
      </c>
      <c r="U64" s="26">
        <f>IF(AND($B64="Jalon",$F64&gt;=U$5,$F64&lt;U$5+7),"◆","")</f>
        <v/>
      </c>
      <c r="V64" s="26">
        <f>IF(AND($B64="Jalon",$F64&gt;=V$5,$F64&lt;V$5+7),"◆","")</f>
        <v/>
      </c>
      <c r="W64" s="26">
        <f>IF(AND($B64="Jalon",$F64&gt;=W$5,$F64&lt;W$5+7),"◆","")</f>
        <v/>
      </c>
      <c r="X64" s="26">
        <f>IF(AND($B64="Jalon",$F64&gt;=X$5,$F64&lt;X$5+7),"◆","")</f>
        <v/>
      </c>
      <c r="Y64" s="26">
        <f>IF(AND($B64="Jalon",$F64&gt;=Y$5,$F64&lt;Y$5+7),"◆","")</f>
        <v/>
      </c>
      <c r="Z64" s="26">
        <f>IF(AND($B64="Jalon",$F64&gt;=Z$5,$F64&lt;Z$5+7),"◆","")</f>
        <v/>
      </c>
      <c r="AA64" s="26">
        <f>IF(AND($B64="Jalon",$F64&gt;=AA$5,$F64&lt;AA$5+7),"◆","")</f>
        <v/>
      </c>
      <c r="AB64" s="26">
        <f>IF(AND($B64="Jalon",$F64&gt;=AB$5,$F64&lt;AB$5+7),"◆","")</f>
        <v/>
      </c>
      <c r="AC64" s="26">
        <f>IF(AND($B64="Jalon",$F64&gt;=AC$5,$F64&lt;AC$5+7),"◆","")</f>
        <v/>
      </c>
      <c r="AD64" s="26">
        <f>IF(AND($B64="Jalon",$F64&gt;=AD$5,$F64&lt;AD$5+7),"◆","")</f>
        <v/>
      </c>
      <c r="AE64" s="26">
        <f>IF(AND($B64="Jalon",$F64&gt;=AE$5,$F64&lt;AE$5+7),"◆","")</f>
        <v/>
      </c>
      <c r="AF64" s="26">
        <f>IF(AND($B64="Jalon",$F64&gt;=AF$5,$F64&lt;AF$5+7),"◆","")</f>
        <v/>
      </c>
      <c r="AG64" s="26">
        <f>IF(AND($B64="Jalon",$F64&gt;=AG$5,$F64&lt;AG$5+7),"◆","")</f>
        <v/>
      </c>
      <c r="AH64" s="26">
        <f>IF(AND($B64="Jalon",$F64&gt;=AH$5,$F64&lt;AH$5+7),"◆","")</f>
        <v/>
      </c>
      <c r="AI64" s="26">
        <f>IF(AND($B64="Jalon",$F64&gt;=AI$5,$F64&lt;AI$5+7),"◆","")</f>
        <v/>
      </c>
    </row>
    <row r="65">
      <c r="B65" s="20" t="n"/>
      <c r="C65" s="20" t="n"/>
      <c r="D65" s="20" t="n"/>
      <c r="E65" s="22" t="n"/>
      <c r="F65" s="22" t="n"/>
      <c r="G65" s="23">
        <f>IF(OR(E65="",F65=""),"",NETWORKDAYS(E65,F65))</f>
        <v/>
      </c>
      <c r="H65" s="24" t="n"/>
      <c r="I65" s="25">
        <f>IF(C65="","",IF(B65="Phase","",IF(H65&gt;=1,"Terminé",IF(AND(F65&lt;&gt;"",TODAY()&gt;F65),"En retard",IF(AND(E65&lt;&gt;"",TODAY()&gt;=E65),"En cours","À venir")))))</f>
        <v/>
      </c>
      <c r="J65" s="26">
        <f>IF(AND($B65="Jalon",$F65&gt;=J$5,$F65&lt;J$5+7),"◆","")</f>
        <v/>
      </c>
      <c r="K65" s="26">
        <f>IF(AND($B65="Jalon",$F65&gt;=K$5,$F65&lt;K$5+7),"◆","")</f>
        <v/>
      </c>
      <c r="L65" s="26">
        <f>IF(AND($B65="Jalon",$F65&gt;=L$5,$F65&lt;L$5+7),"◆","")</f>
        <v/>
      </c>
      <c r="M65" s="26">
        <f>IF(AND($B65="Jalon",$F65&gt;=M$5,$F65&lt;M$5+7),"◆","")</f>
        <v/>
      </c>
      <c r="N65" s="26">
        <f>IF(AND($B65="Jalon",$F65&gt;=N$5,$F65&lt;N$5+7),"◆","")</f>
        <v/>
      </c>
      <c r="O65" s="26">
        <f>IF(AND($B65="Jalon",$F65&gt;=O$5,$F65&lt;O$5+7),"◆","")</f>
        <v/>
      </c>
      <c r="P65" s="26">
        <f>IF(AND($B65="Jalon",$F65&gt;=P$5,$F65&lt;P$5+7),"◆","")</f>
        <v/>
      </c>
      <c r="Q65" s="26">
        <f>IF(AND($B65="Jalon",$F65&gt;=Q$5,$F65&lt;Q$5+7),"◆","")</f>
        <v/>
      </c>
      <c r="R65" s="26">
        <f>IF(AND($B65="Jalon",$F65&gt;=R$5,$F65&lt;R$5+7),"◆","")</f>
        <v/>
      </c>
      <c r="S65" s="26">
        <f>IF(AND($B65="Jalon",$F65&gt;=S$5,$F65&lt;S$5+7),"◆","")</f>
        <v/>
      </c>
      <c r="T65" s="26">
        <f>IF(AND($B65="Jalon",$F65&gt;=T$5,$F65&lt;T$5+7),"◆","")</f>
        <v/>
      </c>
      <c r="U65" s="26">
        <f>IF(AND($B65="Jalon",$F65&gt;=U$5,$F65&lt;U$5+7),"◆","")</f>
        <v/>
      </c>
      <c r="V65" s="26">
        <f>IF(AND($B65="Jalon",$F65&gt;=V$5,$F65&lt;V$5+7),"◆","")</f>
        <v/>
      </c>
      <c r="W65" s="26">
        <f>IF(AND($B65="Jalon",$F65&gt;=W$5,$F65&lt;W$5+7),"◆","")</f>
        <v/>
      </c>
      <c r="X65" s="26">
        <f>IF(AND($B65="Jalon",$F65&gt;=X$5,$F65&lt;X$5+7),"◆","")</f>
        <v/>
      </c>
      <c r="Y65" s="26">
        <f>IF(AND($B65="Jalon",$F65&gt;=Y$5,$F65&lt;Y$5+7),"◆","")</f>
        <v/>
      </c>
      <c r="Z65" s="26">
        <f>IF(AND($B65="Jalon",$F65&gt;=Z$5,$F65&lt;Z$5+7),"◆","")</f>
        <v/>
      </c>
      <c r="AA65" s="26">
        <f>IF(AND($B65="Jalon",$F65&gt;=AA$5,$F65&lt;AA$5+7),"◆","")</f>
        <v/>
      </c>
      <c r="AB65" s="26">
        <f>IF(AND($B65="Jalon",$F65&gt;=AB$5,$F65&lt;AB$5+7),"◆","")</f>
        <v/>
      </c>
      <c r="AC65" s="26">
        <f>IF(AND($B65="Jalon",$F65&gt;=AC$5,$F65&lt;AC$5+7),"◆","")</f>
        <v/>
      </c>
      <c r="AD65" s="26">
        <f>IF(AND($B65="Jalon",$F65&gt;=AD$5,$F65&lt;AD$5+7),"◆","")</f>
        <v/>
      </c>
      <c r="AE65" s="26">
        <f>IF(AND($B65="Jalon",$F65&gt;=AE$5,$F65&lt;AE$5+7),"◆","")</f>
        <v/>
      </c>
      <c r="AF65" s="26">
        <f>IF(AND($B65="Jalon",$F65&gt;=AF$5,$F65&lt;AF$5+7),"◆","")</f>
        <v/>
      </c>
      <c r="AG65" s="26">
        <f>IF(AND($B65="Jalon",$F65&gt;=AG$5,$F65&lt;AG$5+7),"◆","")</f>
        <v/>
      </c>
      <c r="AH65" s="26">
        <f>IF(AND($B65="Jalon",$F65&gt;=AH$5,$F65&lt;AH$5+7),"◆","")</f>
        <v/>
      </c>
      <c r="AI65" s="26">
        <f>IF(AND($B65="Jalon",$F65&gt;=AI$5,$F65&lt;AI$5+7),"◆","")</f>
        <v/>
      </c>
    </row>
    <row r="66">
      <c r="B66" s="20" t="n"/>
      <c r="C66" s="20" t="n"/>
      <c r="D66" s="20" t="n"/>
      <c r="E66" s="22" t="n"/>
      <c r="F66" s="22" t="n"/>
      <c r="G66" s="23">
        <f>IF(OR(E66="",F66=""),"",NETWORKDAYS(E66,F66))</f>
        <v/>
      </c>
      <c r="H66" s="24" t="n"/>
      <c r="I66" s="25">
        <f>IF(C66="","",IF(B66="Phase","",IF(H66&gt;=1,"Terminé",IF(AND(F66&lt;&gt;"",TODAY()&gt;F66),"En retard",IF(AND(E66&lt;&gt;"",TODAY()&gt;=E66),"En cours","À venir")))))</f>
        <v/>
      </c>
      <c r="J66" s="26">
        <f>IF(AND($B66="Jalon",$F66&gt;=J$5,$F66&lt;J$5+7),"◆","")</f>
        <v/>
      </c>
      <c r="K66" s="26">
        <f>IF(AND($B66="Jalon",$F66&gt;=K$5,$F66&lt;K$5+7),"◆","")</f>
        <v/>
      </c>
      <c r="L66" s="26">
        <f>IF(AND($B66="Jalon",$F66&gt;=L$5,$F66&lt;L$5+7),"◆","")</f>
        <v/>
      </c>
      <c r="M66" s="26">
        <f>IF(AND($B66="Jalon",$F66&gt;=M$5,$F66&lt;M$5+7),"◆","")</f>
        <v/>
      </c>
      <c r="N66" s="26">
        <f>IF(AND($B66="Jalon",$F66&gt;=N$5,$F66&lt;N$5+7),"◆","")</f>
        <v/>
      </c>
      <c r="O66" s="26">
        <f>IF(AND($B66="Jalon",$F66&gt;=O$5,$F66&lt;O$5+7),"◆","")</f>
        <v/>
      </c>
      <c r="P66" s="26">
        <f>IF(AND($B66="Jalon",$F66&gt;=P$5,$F66&lt;P$5+7),"◆","")</f>
        <v/>
      </c>
      <c r="Q66" s="26">
        <f>IF(AND($B66="Jalon",$F66&gt;=Q$5,$F66&lt;Q$5+7),"◆","")</f>
        <v/>
      </c>
      <c r="R66" s="26">
        <f>IF(AND($B66="Jalon",$F66&gt;=R$5,$F66&lt;R$5+7),"◆","")</f>
        <v/>
      </c>
      <c r="S66" s="26">
        <f>IF(AND($B66="Jalon",$F66&gt;=S$5,$F66&lt;S$5+7),"◆","")</f>
        <v/>
      </c>
      <c r="T66" s="26">
        <f>IF(AND($B66="Jalon",$F66&gt;=T$5,$F66&lt;T$5+7),"◆","")</f>
        <v/>
      </c>
      <c r="U66" s="26">
        <f>IF(AND($B66="Jalon",$F66&gt;=U$5,$F66&lt;U$5+7),"◆","")</f>
        <v/>
      </c>
      <c r="V66" s="26">
        <f>IF(AND($B66="Jalon",$F66&gt;=V$5,$F66&lt;V$5+7),"◆","")</f>
        <v/>
      </c>
      <c r="W66" s="26">
        <f>IF(AND($B66="Jalon",$F66&gt;=W$5,$F66&lt;W$5+7),"◆","")</f>
        <v/>
      </c>
      <c r="X66" s="26">
        <f>IF(AND($B66="Jalon",$F66&gt;=X$5,$F66&lt;X$5+7),"◆","")</f>
        <v/>
      </c>
      <c r="Y66" s="26">
        <f>IF(AND($B66="Jalon",$F66&gt;=Y$5,$F66&lt;Y$5+7),"◆","")</f>
        <v/>
      </c>
      <c r="Z66" s="26">
        <f>IF(AND($B66="Jalon",$F66&gt;=Z$5,$F66&lt;Z$5+7),"◆","")</f>
        <v/>
      </c>
      <c r="AA66" s="26">
        <f>IF(AND($B66="Jalon",$F66&gt;=AA$5,$F66&lt;AA$5+7),"◆","")</f>
        <v/>
      </c>
      <c r="AB66" s="26">
        <f>IF(AND($B66="Jalon",$F66&gt;=AB$5,$F66&lt;AB$5+7),"◆","")</f>
        <v/>
      </c>
      <c r="AC66" s="26">
        <f>IF(AND($B66="Jalon",$F66&gt;=AC$5,$F66&lt;AC$5+7),"◆","")</f>
        <v/>
      </c>
      <c r="AD66" s="26">
        <f>IF(AND($B66="Jalon",$F66&gt;=AD$5,$F66&lt;AD$5+7),"◆","")</f>
        <v/>
      </c>
      <c r="AE66" s="26">
        <f>IF(AND($B66="Jalon",$F66&gt;=AE$5,$F66&lt;AE$5+7),"◆","")</f>
        <v/>
      </c>
      <c r="AF66" s="26">
        <f>IF(AND($B66="Jalon",$F66&gt;=AF$5,$F66&lt;AF$5+7),"◆","")</f>
        <v/>
      </c>
      <c r="AG66" s="26">
        <f>IF(AND($B66="Jalon",$F66&gt;=AG$5,$F66&lt;AG$5+7),"◆","")</f>
        <v/>
      </c>
      <c r="AH66" s="26">
        <f>IF(AND($B66="Jalon",$F66&gt;=AH$5,$F66&lt;AH$5+7),"◆","")</f>
        <v/>
      </c>
      <c r="AI66" s="26">
        <f>IF(AND($B66="Jalon",$F66&gt;=AI$5,$F66&lt;AI$5+7),"◆","")</f>
        <v/>
      </c>
    </row>
  </sheetData>
  <mergeCells count="1">
    <mergeCell ref="G2:H2"/>
  </mergeCells>
  <conditionalFormatting sqref="J7:AI66">
    <cfRule type="expression" priority="1" dxfId="4" stopIfTrue="0">
      <formula>AND(J$5&lt;=TODAY(),TODAY()&lt;J$5+7)</formula>
    </cfRule>
    <cfRule type="expression" priority="2" dxfId="5" stopIfTrue="1">
      <formula>AND($B7="Phase",AND($E7&lt;&gt;"",$F7&lt;&gt;"",$E7&lt;J$5+7,$F7&gt;=J$5))</formula>
    </cfRule>
    <cfRule type="expression" priority="3" dxfId="6" stopIfTrue="1">
      <formula>AND($B7&lt;&gt;"Jalon",AND($E7&lt;&gt;"",$F7&lt;&gt;"",$E7&lt;J$5+7,$F7&gt;=J$5),J$5&lt;$E7+($F7-$E7+1)*N($H7))</formula>
    </cfRule>
    <cfRule type="expression" priority="4" dxfId="7" stopIfTrue="1">
      <formula>AND($B7&lt;&gt;"Jalon",AND($E7&lt;&gt;"",$F7&lt;&gt;"",$E7&lt;J$5+7,$F7&gt;=J$5))</formula>
    </cfRule>
  </conditionalFormatting>
  <conditionalFormatting sqref="B7:I66">
    <cfRule type="expression" priority="5" dxfId="8">
      <formula>$B7="Phase"</formula>
    </cfRule>
  </conditionalFormatting>
  <conditionalFormatting sqref="I7:I66">
    <cfRule type="cellIs" priority="6" operator="equal" dxfId="9">
      <formula>"En retard"</formula>
    </cfRule>
    <cfRule type="cellIs" priority="7" operator="equal" dxfId="10">
      <formula>"En cours"</formula>
    </cfRule>
    <cfRule type="cellIs" priority="8" operator="equal" dxfId="11">
      <formula>"Terminé"</formula>
    </cfRule>
  </conditionalFormatting>
  <dataValidations count="4">
    <dataValidation sqref="B7:B66" showDropDown="0" showInputMessage="1" showErrorMessage="0" allowBlank="1" promptTitle="Type" prompt="Phase, tâche ou jalon." type="list">
      <formula1>"Phase,Tâche,Jalon"</formula1>
    </dataValidation>
    <dataValidation sqref="D7:D66" showDropDown="0" showInputMessage="1" showErrorMessage="0" allowBlank="1" promptTitle="Responsable" prompt="Membres listés dans « Équipe »." type="list">
      <formula1>=lstTeam</formula1>
    </dataValidation>
    <dataValidation sqref="H7:H66" showDropDown="0" showInputMessage="0" showErrorMessage="1" allowBlank="1" errorTitle="Avancement" error="Avancement entre 0 et 100 %." type="decimal" operator="between">
      <formula1>0</formula1>
      <formula2>1</formula2>
    </dataValidation>
    <dataValidation sqref="E7:F66" showDropDown="0" showInputMessage="0" showErrorMessage="1" allowBlank="1" errorTitle="Date" error="Saisissez une date (jj.mm.aaaa)." type="date" operator="greaterThan">
      <formula1>36526</formula1>
    </dataValidation>
  </dataValidations>
  <printOptions horizontalCentered="0"/>
  <pageMargins left="0.6" right="0.6" top="0.7" bottom="0.7" header="0.5" footer="0.5"/>
  <pageSetup orientation="landscape" paperSize="9" fitToHeight="0" fitToWidth="1"/>
</worksheet>
</file>

<file path=xl/worksheets/sheet3.xml><?xml version="1.0" encoding="utf-8"?>
<worksheet xmlns="http://schemas.openxmlformats.org/spreadsheetml/2006/main">
  <sheetPr>
    <outlinePr summaryBelow="1" summaryRight="1"/>
    <pageSetUpPr fitToPage="1"/>
  </sheetPr>
  <dimension ref="B2:C13"/>
  <sheetViews>
    <sheetView showGridLines="0" zoomScale="110" workbookViewId="0">
      <selection activeCell="A1" sqref="A1"/>
    </sheetView>
  </sheetViews>
  <sheetFormatPr baseColWidth="8" defaultRowHeight="15"/>
  <cols>
    <col width="3" customWidth="1" min="1" max="1"/>
    <col width="28" customWidth="1" min="2" max="2"/>
    <col width="28" customWidth="1" min="3" max="3"/>
  </cols>
  <sheetData>
    <row r="2" ht="30" customHeight="1">
      <c r="B2" s="1" t="inlineStr">
        <is>
          <t>Équipe</t>
        </is>
      </c>
    </row>
    <row r="3" ht="18" customHeight="1">
      <c r="B3" s="2" t="inlineStr">
        <is>
          <t>Les membres proposés dans la colonne Responsable.</t>
        </is>
      </c>
    </row>
    <row r="5" ht="20" customHeight="1">
      <c r="B5" s="17" t="inlineStr">
        <is>
          <t>Membre</t>
        </is>
      </c>
      <c r="C5" s="17" t="inlineStr">
        <is>
          <t>Rôle</t>
        </is>
      </c>
    </row>
    <row r="6">
      <c r="B6" s="11" t="inlineStr">
        <is>
          <t>Alex</t>
        </is>
      </c>
      <c r="C6" s="20" t="inlineStr">
        <is>
          <t>Cheffe de projet</t>
        </is>
      </c>
    </row>
    <row r="7">
      <c r="B7" s="11" t="inlineStr">
        <is>
          <t>Sam</t>
        </is>
      </c>
      <c r="C7" s="20" t="inlineStr">
        <is>
          <t>Développement</t>
        </is>
      </c>
    </row>
    <row r="8">
      <c r="B8" s="11" t="inlineStr">
        <is>
          <t>Noa</t>
        </is>
      </c>
      <c r="C8" s="20" t="inlineStr">
        <is>
          <t>Analyse et tests</t>
        </is>
      </c>
    </row>
    <row r="9">
      <c r="B9" s="11" t="n"/>
      <c r="C9" s="20" t="n"/>
    </row>
    <row r="10">
      <c r="B10" s="11" t="n"/>
      <c r="C10" s="20" t="n"/>
    </row>
    <row r="11">
      <c r="B11" s="11" t="n"/>
      <c r="C11" s="20" t="n"/>
    </row>
    <row r="12">
      <c r="B12" s="11" t="n"/>
      <c r="C12" s="20" t="n"/>
    </row>
    <row r="13">
      <c r="B13" s="11" t="n"/>
      <c r="C13" s="20" t="n"/>
    </row>
  </sheetData>
  <printOptions horizontalCentered="0"/>
  <pageMargins left="0.6" right="0.6" top="0.7" bottom="0.7" header="0.5" footer="0.5"/>
  <pageSetup orientation="portrait" paperSize="9" fitToHeight="0" fitToWidth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2026-10-12T22:06:12Z</dcterms:created>
  <dcterms:modified xmlns:dcterms="http://purl.org/dc/terms/" xmlns:xsi="http://www.w3.org/2001/XMLSchema-instance" xsi:type="dcterms:W3CDTF">2026-10-12T22:06:12Z</dcterms:modified>
</cp:coreProperties>
</file>